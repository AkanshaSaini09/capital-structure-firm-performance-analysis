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416887-C44F-436D-B73E-152187DE5099}" xr6:coauthVersionLast="47" xr6:coauthVersionMax="47" xr10:uidLastSave="{00000000-0000-0000-0000-000000000000}"/>
  <bookViews>
    <workbookView xWindow="-98" yWindow="-98" windowWidth="21795" windowHeight="12975" xr2:uid="{A6E59DC9-2D92-413B-AB4A-2BDB196C2F41}"/>
  </bookViews>
  <sheets>
    <sheet name="P&amp;L AUTOMOBILES" sheetId="1" r:id="rId1"/>
    <sheet name="BALANCE SHEET AUTOMOBILES" sheetId="2" r:id="rId2"/>
    <sheet name="P&amp;L IT" sheetId="4" r:id="rId3"/>
    <sheet name="BALANCE SHEET IT" sheetId="7" r:id="rId4"/>
    <sheet name="CASH FLOW AUTOMOBILES" sheetId="3" state="hidden" r:id="rId5"/>
    <sheet name="CASH FLOW IT " sheetId="5" state="hidden" r:id="rId6"/>
    <sheet name="RATIO" sheetId="8" r:id="rId7"/>
    <sheet name="DASHBOARD" sheetId="11" r:id="rId8"/>
    <sheet name="LEVERAGE ANALYSIS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3" i="8" l="1"/>
  <c r="O73" i="8"/>
  <c r="P73" i="8"/>
  <c r="Q73" i="8"/>
  <c r="N74" i="8"/>
  <c r="O74" i="8"/>
  <c r="O75" i="8" s="1"/>
  <c r="P74" i="8"/>
  <c r="Q74" i="8"/>
  <c r="Q75" i="8" s="1"/>
  <c r="N75" i="8"/>
  <c r="P75" i="8"/>
  <c r="M75" i="8"/>
  <c r="M74" i="8"/>
  <c r="M73" i="8"/>
  <c r="N69" i="8"/>
  <c r="O69" i="8"/>
  <c r="O71" i="8" s="1"/>
  <c r="P69" i="8"/>
  <c r="Q69" i="8"/>
  <c r="N70" i="8"/>
  <c r="O70" i="8"/>
  <c r="P70" i="8"/>
  <c r="Q70" i="8"/>
  <c r="Q71" i="8" s="1"/>
  <c r="N71" i="8"/>
  <c r="P71" i="8"/>
  <c r="M71" i="8"/>
  <c r="M70" i="8"/>
  <c r="M69" i="8"/>
  <c r="N65" i="8"/>
  <c r="N67" i="8" s="1"/>
  <c r="O65" i="8"/>
  <c r="O67" i="8" s="1"/>
  <c r="P65" i="8"/>
  <c r="Q65" i="8"/>
  <c r="N66" i="8"/>
  <c r="O66" i="8"/>
  <c r="P66" i="8"/>
  <c r="P67" i="8" s="1"/>
  <c r="Q66" i="8"/>
  <c r="Q67" i="8" s="1"/>
  <c r="M67" i="8"/>
  <c r="M66" i="8"/>
  <c r="M65" i="8"/>
  <c r="N61" i="8"/>
  <c r="O61" i="8"/>
  <c r="P61" i="8"/>
  <c r="Q61" i="8"/>
  <c r="N62" i="8"/>
  <c r="N63" i="8" s="1"/>
  <c r="O62" i="8"/>
  <c r="O63" i="8" s="1"/>
  <c r="P62" i="8"/>
  <c r="P63" i="8" s="1"/>
  <c r="Q62" i="8"/>
  <c r="Q63" i="8" s="1"/>
  <c r="M63" i="8"/>
  <c r="M62" i="8"/>
  <c r="M61" i="8"/>
  <c r="N54" i="8"/>
  <c r="O54" i="8"/>
  <c r="P54" i="8"/>
  <c r="Q54" i="8"/>
  <c r="N55" i="8"/>
  <c r="O55" i="8"/>
  <c r="P55" i="8"/>
  <c r="Q55" i="8"/>
  <c r="Q56" i="8" s="1"/>
  <c r="N56" i="8"/>
  <c r="O56" i="8"/>
  <c r="P56" i="8"/>
  <c r="M56" i="8"/>
  <c r="M55" i="8"/>
  <c r="M54" i="8"/>
  <c r="N50" i="8"/>
  <c r="O50" i="8"/>
  <c r="P50" i="8"/>
  <c r="Q50" i="8"/>
  <c r="N51" i="8"/>
  <c r="O51" i="8"/>
  <c r="P51" i="8"/>
  <c r="Q51" i="8"/>
  <c r="Q52" i="8" s="1"/>
  <c r="N52" i="8"/>
  <c r="O52" i="8"/>
  <c r="P52" i="8"/>
  <c r="M52" i="8"/>
  <c r="M51" i="8"/>
  <c r="M50" i="8"/>
  <c r="N46" i="8"/>
  <c r="O46" i="8"/>
  <c r="P46" i="8"/>
  <c r="Q46" i="8"/>
  <c r="N47" i="8"/>
  <c r="O47" i="8"/>
  <c r="O48" i="8" s="1"/>
  <c r="P47" i="8"/>
  <c r="P48" i="8" s="1"/>
  <c r="Q47" i="8"/>
  <c r="Q48" i="8" s="1"/>
  <c r="N48" i="8"/>
  <c r="M48" i="8"/>
  <c r="M47" i="8"/>
  <c r="M46" i="8"/>
  <c r="N42" i="8"/>
  <c r="O42" i="8"/>
  <c r="P42" i="8"/>
  <c r="Q42" i="8"/>
  <c r="N43" i="8"/>
  <c r="O43" i="8"/>
  <c r="O44" i="8" s="1"/>
  <c r="P43" i="8"/>
  <c r="P44" i="8" s="1"/>
  <c r="Q43" i="8"/>
  <c r="Q44" i="8" s="1"/>
  <c r="N44" i="8"/>
  <c r="M44" i="8"/>
  <c r="M43" i="8"/>
  <c r="M42" i="8"/>
  <c r="N35" i="8"/>
  <c r="O35" i="8"/>
  <c r="O37" i="8" s="1"/>
  <c r="P35" i="8"/>
  <c r="Q35" i="8"/>
  <c r="N36" i="8"/>
  <c r="O36" i="8"/>
  <c r="P36" i="8"/>
  <c r="Q36" i="8"/>
  <c r="Q37" i="8" s="1"/>
  <c r="N37" i="8"/>
  <c r="P37" i="8"/>
  <c r="M37" i="8"/>
  <c r="M36" i="8"/>
  <c r="M35" i="8"/>
  <c r="N31" i="8"/>
  <c r="O31" i="8"/>
  <c r="P31" i="8"/>
  <c r="Q31" i="8"/>
  <c r="N32" i="8"/>
  <c r="N33" i="8" s="1"/>
  <c r="O32" i="8"/>
  <c r="O33" i="8" s="1"/>
  <c r="P32" i="8"/>
  <c r="P33" i="8" s="1"/>
  <c r="Q32" i="8"/>
  <c r="Q33" i="8" s="1"/>
  <c r="M33" i="8"/>
  <c r="M32" i="8"/>
  <c r="M31" i="8"/>
  <c r="N27" i="8"/>
  <c r="O27" i="8"/>
  <c r="P27" i="8"/>
  <c r="Q27" i="8"/>
  <c r="N28" i="8"/>
  <c r="O28" i="8"/>
  <c r="P28" i="8"/>
  <c r="Q28" i="8"/>
  <c r="Q29" i="8" s="1"/>
  <c r="N29" i="8"/>
  <c r="O29" i="8"/>
  <c r="P29" i="8"/>
  <c r="M29" i="8"/>
  <c r="M28" i="8"/>
  <c r="M27" i="8"/>
  <c r="N23" i="8"/>
  <c r="O23" i="8"/>
  <c r="O25" i="8" s="1"/>
  <c r="P23" i="8"/>
  <c r="Q23" i="8"/>
  <c r="N24" i="8"/>
  <c r="N25" i="8" s="1"/>
  <c r="O24" i="8"/>
  <c r="P24" i="8"/>
  <c r="P25" i="8" s="1"/>
  <c r="Q24" i="8"/>
  <c r="Q25" i="8" s="1"/>
  <c r="M25" i="8"/>
  <c r="M24" i="8"/>
  <c r="M23" i="8"/>
  <c r="N16" i="8"/>
  <c r="N18" i="8" s="1"/>
  <c r="O16" i="8"/>
  <c r="O18" i="8" s="1"/>
  <c r="P16" i="8"/>
  <c r="Q16" i="8"/>
  <c r="N17" i="8"/>
  <c r="O17" i="8"/>
  <c r="P17" i="8"/>
  <c r="P18" i="8" s="1"/>
  <c r="Q17" i="8"/>
  <c r="Q18" i="8" s="1"/>
  <c r="M18" i="8"/>
  <c r="M17" i="8"/>
  <c r="M16" i="8"/>
  <c r="N12" i="8"/>
  <c r="O12" i="8"/>
  <c r="P12" i="8"/>
  <c r="Q12" i="8"/>
  <c r="Q14" i="8" s="1"/>
  <c r="N13" i="8"/>
  <c r="O13" i="8"/>
  <c r="O14" i="8" s="1"/>
  <c r="P13" i="8"/>
  <c r="P14" i="8" s="1"/>
  <c r="Q13" i="8"/>
  <c r="N14" i="8"/>
  <c r="M14" i="8"/>
  <c r="M13" i="8"/>
  <c r="M12" i="8"/>
  <c r="N8" i="8"/>
  <c r="N10" i="8" s="1"/>
  <c r="O8" i="8"/>
  <c r="P8" i="8"/>
  <c r="Q8" i="8"/>
  <c r="N9" i="8"/>
  <c r="O9" i="8"/>
  <c r="P9" i="8"/>
  <c r="P10" i="8" s="1"/>
  <c r="Q9" i="8"/>
  <c r="Q10" i="8" s="1"/>
  <c r="O10" i="8"/>
  <c r="M10" i="8"/>
  <c r="M9" i="8"/>
  <c r="M8" i="8"/>
  <c r="N4" i="8"/>
  <c r="O4" i="8"/>
  <c r="P4" i="8"/>
  <c r="Q4" i="8"/>
  <c r="N5" i="8"/>
  <c r="O5" i="8"/>
  <c r="P5" i="8"/>
  <c r="P6" i="8" s="1"/>
  <c r="Q5" i="8"/>
  <c r="N6" i="8"/>
  <c r="O6" i="8"/>
  <c r="Q6" i="8"/>
  <c r="M4" i="8"/>
  <c r="M6" i="8"/>
  <c r="M5" i="8"/>
  <c r="D73" i="8"/>
  <c r="D75" i="8" s="1"/>
  <c r="E73" i="8"/>
  <c r="E75" i="8" s="1"/>
  <c r="F73" i="8"/>
  <c r="G73" i="8"/>
  <c r="D74" i="8"/>
  <c r="E74" i="8"/>
  <c r="F74" i="8"/>
  <c r="G74" i="8"/>
  <c r="G75" i="8" s="1"/>
  <c r="F75" i="8"/>
  <c r="C75" i="8"/>
  <c r="C74" i="8"/>
  <c r="C73" i="8"/>
  <c r="D69" i="8"/>
  <c r="E69" i="8"/>
  <c r="E71" i="8" s="1"/>
  <c r="F69" i="8"/>
  <c r="G69" i="8"/>
  <c r="D70" i="8"/>
  <c r="E70" i="8"/>
  <c r="F70" i="8"/>
  <c r="G70" i="8"/>
  <c r="G71" i="8" s="1"/>
  <c r="D71" i="8"/>
  <c r="F71" i="8"/>
  <c r="C71" i="8"/>
  <c r="C70" i="8"/>
  <c r="C69" i="8"/>
  <c r="D65" i="8"/>
  <c r="E65" i="8"/>
  <c r="F65" i="8"/>
  <c r="G65" i="8"/>
  <c r="D66" i="8"/>
  <c r="E66" i="8"/>
  <c r="F66" i="8"/>
  <c r="F67" i="8" s="1"/>
  <c r="G66" i="8"/>
  <c r="G67" i="8" s="1"/>
  <c r="D67" i="8"/>
  <c r="E67" i="8"/>
  <c r="C67" i="8"/>
  <c r="C66" i="8"/>
  <c r="C65" i="8"/>
  <c r="D61" i="8"/>
  <c r="D63" i="8" s="1"/>
  <c r="E61" i="8"/>
  <c r="F61" i="8"/>
  <c r="G61" i="8"/>
  <c r="D62" i="8"/>
  <c r="E62" i="8"/>
  <c r="F62" i="8"/>
  <c r="F63" i="8" s="1"/>
  <c r="G62" i="8"/>
  <c r="G63" i="8" s="1"/>
  <c r="E63" i="8"/>
  <c r="C63" i="8"/>
  <c r="C62" i="8"/>
  <c r="C61" i="8"/>
  <c r="D54" i="8"/>
  <c r="E54" i="8"/>
  <c r="F54" i="8"/>
  <c r="G54" i="8"/>
  <c r="D55" i="8"/>
  <c r="D56" i="8" s="1"/>
  <c r="E55" i="8"/>
  <c r="E56" i="8" s="1"/>
  <c r="F55" i="8"/>
  <c r="F56" i="8" s="1"/>
  <c r="G55" i="8"/>
  <c r="G56" i="8"/>
  <c r="C56" i="8"/>
  <c r="C55" i="8"/>
  <c r="C54" i="8"/>
  <c r="D50" i="8"/>
  <c r="E50" i="8"/>
  <c r="F50" i="8"/>
  <c r="G50" i="8"/>
  <c r="D51" i="8"/>
  <c r="D52" i="8" s="1"/>
  <c r="E51" i="8"/>
  <c r="F51" i="8"/>
  <c r="F52" i="8" s="1"/>
  <c r="G51" i="8"/>
  <c r="G52" i="8" s="1"/>
  <c r="E52" i="8"/>
  <c r="C52" i="8"/>
  <c r="C51" i="8"/>
  <c r="C50" i="8"/>
  <c r="D46" i="8"/>
  <c r="E46" i="8"/>
  <c r="F46" i="8"/>
  <c r="G46" i="8"/>
  <c r="D47" i="8"/>
  <c r="E47" i="8"/>
  <c r="E48" i="8" s="1"/>
  <c r="F47" i="8"/>
  <c r="F48" i="8" s="1"/>
  <c r="G47" i="8"/>
  <c r="G48" i="8" s="1"/>
  <c r="D48" i="8"/>
  <c r="C48" i="8"/>
  <c r="C47" i="8"/>
  <c r="C46" i="8"/>
  <c r="D42" i="8"/>
  <c r="E42" i="8"/>
  <c r="F42" i="8"/>
  <c r="G42" i="8"/>
  <c r="D43" i="8"/>
  <c r="E43" i="8"/>
  <c r="F43" i="8"/>
  <c r="G43" i="8"/>
  <c r="G44" i="8" s="1"/>
  <c r="D44" i="8"/>
  <c r="E44" i="8"/>
  <c r="F44" i="8"/>
  <c r="C44" i="8"/>
  <c r="C43" i="8"/>
  <c r="C42" i="8"/>
  <c r="D35" i="8"/>
  <c r="E35" i="8"/>
  <c r="F35" i="8"/>
  <c r="G35" i="8"/>
  <c r="D36" i="8"/>
  <c r="D37" i="8" s="1"/>
  <c r="E36" i="8"/>
  <c r="E37" i="8" s="1"/>
  <c r="F36" i="8"/>
  <c r="F37" i="8" s="1"/>
  <c r="G36" i="8"/>
  <c r="G37" i="8" s="1"/>
  <c r="C37" i="8"/>
  <c r="C36" i="8"/>
  <c r="D17" i="8"/>
  <c r="D18" i="8" s="1"/>
  <c r="E17" i="8"/>
  <c r="E18" i="8" s="1"/>
  <c r="F17" i="8"/>
  <c r="F18" i="8" s="1"/>
  <c r="G17" i="8"/>
  <c r="G18" i="8"/>
  <c r="C17" i="8"/>
  <c r="C18" i="8" s="1"/>
  <c r="C35" i="8"/>
  <c r="D31" i="8"/>
  <c r="E31" i="8"/>
  <c r="F31" i="8"/>
  <c r="G31" i="8"/>
  <c r="D32" i="8"/>
  <c r="E32" i="8"/>
  <c r="E33" i="8" s="1"/>
  <c r="F32" i="8"/>
  <c r="F33" i="8" s="1"/>
  <c r="G32" i="8"/>
  <c r="D33" i="8"/>
  <c r="G33" i="8"/>
  <c r="C33" i="8"/>
  <c r="C32" i="8"/>
  <c r="C31" i="8"/>
  <c r="D27" i="8"/>
  <c r="E27" i="8"/>
  <c r="F27" i="8"/>
  <c r="G27" i="8"/>
  <c r="D28" i="8"/>
  <c r="D29" i="8" s="1"/>
  <c r="E28" i="8"/>
  <c r="F28" i="8"/>
  <c r="F29" i="8" s="1"/>
  <c r="G28" i="8"/>
  <c r="G29" i="8" s="1"/>
  <c r="E29" i="8"/>
  <c r="C29" i="8"/>
  <c r="C28" i="8"/>
  <c r="C27" i="8"/>
  <c r="D23" i="8"/>
  <c r="E23" i="8"/>
  <c r="F23" i="8"/>
  <c r="G23" i="8"/>
  <c r="D24" i="8"/>
  <c r="E24" i="8"/>
  <c r="F24" i="8"/>
  <c r="F25" i="8" s="1"/>
  <c r="G24" i="8"/>
  <c r="G25" i="8" s="1"/>
  <c r="D25" i="8"/>
  <c r="E25" i="8"/>
  <c r="C25" i="8"/>
  <c r="C24" i="8"/>
  <c r="C23" i="8"/>
  <c r="D16" i="8"/>
  <c r="E16" i="8"/>
  <c r="F16" i="8"/>
  <c r="G16" i="8"/>
  <c r="C16" i="8"/>
  <c r="D14" i="8"/>
  <c r="E14" i="8"/>
  <c r="F14" i="8"/>
  <c r="G14" i="8"/>
  <c r="C14" i="8"/>
  <c r="D13" i="8"/>
  <c r="E13" i="8"/>
  <c r="F13" i="8"/>
  <c r="G13" i="8"/>
  <c r="D12" i="8"/>
  <c r="E12" i="8"/>
  <c r="F12" i="8"/>
  <c r="G12" i="8"/>
  <c r="C13" i="8"/>
  <c r="C12" i="8"/>
  <c r="D10" i="8"/>
  <c r="E10" i="8"/>
  <c r="F10" i="8"/>
  <c r="G10" i="8"/>
  <c r="C10" i="8"/>
  <c r="D6" i="8"/>
  <c r="E6" i="8"/>
  <c r="F6" i="8"/>
  <c r="G6" i="8"/>
  <c r="C6" i="8"/>
  <c r="D9" i="8"/>
  <c r="E9" i="8"/>
  <c r="F9" i="8"/>
  <c r="G9" i="8"/>
  <c r="C9" i="8"/>
  <c r="D8" i="8"/>
  <c r="E8" i="8"/>
  <c r="F8" i="8"/>
  <c r="G8" i="8"/>
  <c r="C8" i="8"/>
  <c r="D5" i="8"/>
  <c r="E5" i="8"/>
  <c r="F5" i="8"/>
  <c r="G5" i="8"/>
  <c r="G4" i="8"/>
  <c r="F4" i="8"/>
  <c r="E4" i="8"/>
  <c r="D4" i="8"/>
  <c r="C5" i="8"/>
  <c r="C4" i="8"/>
</calcChain>
</file>

<file path=xl/sharedStrings.xml><?xml version="1.0" encoding="utf-8"?>
<sst xmlns="http://schemas.openxmlformats.org/spreadsheetml/2006/main" count="854" uniqueCount="171">
  <si>
    <t>Year</t>
  </si>
  <si>
    <r>
      <t>Sales </t>
    </r>
    <r>
      <rPr>
        <sz val="11"/>
        <color rgb="FF665EFD"/>
        <rFont val="Arial"/>
        <family val="2"/>
      </rPr>
      <t>-</t>
    </r>
  </si>
  <si>
    <t>Sales Growth %</t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</si>
  <si>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</si>
  <si>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+</t>
    </r>
  </si>
  <si>
    <t>Manufacturing Cost %</t>
  </si>
  <si>
    <t>Employee Cost %</t>
  </si>
  <si>
    <t>Other Cost %</t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</si>
  <si>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</si>
  <si>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</si>
  <si>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-</t>
    </r>
  </si>
  <si>
    <t>Exceptional items</t>
  </si>
  <si>
    <t>Other income normal</t>
  </si>
  <si>
    <t>Interest</t>
  </si>
  <si>
    <t>Depreciation</t>
  </si>
  <si>
    <t>Profit before tax</t>
  </si>
  <si>
    <t>Tax %</t>
  </si>
  <si>
    <r>
      <t>Net Profit </t>
    </r>
    <r>
      <rPr>
        <b/>
        <sz val="11"/>
        <color rgb="FF665EFD"/>
        <rFont val="Arial"/>
        <family val="2"/>
      </rPr>
      <t>-</t>
    </r>
  </si>
  <si>
    <t>Exceptional items AT</t>
  </si>
  <si>
    <t>Profit excl Excep</t>
  </si>
  <si>
    <t>Profit for PE</t>
  </si>
  <si>
    <t>Profit for EPS</t>
  </si>
  <si>
    <t>EPS in Rs</t>
  </si>
  <si>
    <t>Dividend Payout %</t>
  </si>
  <si>
    <t>HERO MOTORS</t>
  </si>
  <si>
    <t>Equity Capital</t>
  </si>
  <si>
    <t>Reserves</t>
  </si>
  <si>
    <r>
      <t>Borrowings </t>
    </r>
    <r>
      <rPr>
        <sz val="11"/>
        <color rgb="FF665EFD"/>
        <rFont val="Arial"/>
        <family val="2"/>
      </rPr>
      <t>-</t>
    </r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</si>
  <si>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</si>
  <si>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</si>
  <si>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</si>
  <si>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Trade Payables</t>
  </si>
  <si>
    <t>Advance from Customers</t>
  </si>
  <si>
    <t>Other liability items</t>
  </si>
  <si>
    <t>Total Liabilities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</si>
  <si>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</si>
  <si>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</si>
  <si>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</si>
  <si>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</si>
  <si>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</si>
  <si>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Computers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</si>
  <si>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</si>
  <si>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</si>
  <si>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</si>
  <si>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</si>
  <si>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</si>
  <si>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</si>
  <si>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</si>
  <si>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Investments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</si>
  <si>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</si>
  <si>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</si>
  <si>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Trade receivables</t>
  </si>
  <si>
    <t>Cash Equivalents</t>
  </si>
  <si>
    <t>Loans n Advances</t>
  </si>
  <si>
    <t>Other asset items</t>
  </si>
  <si>
    <t>Total Assets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</si>
  <si>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</si>
  <si>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</si>
  <si>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</si>
  <si>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</si>
  <si>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</si>
  <si>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</si>
  <si>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</si>
  <si>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</si>
  <si>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</si>
  <si>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</si>
  <si>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</si>
  <si>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</si>
  <si>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</si>
  <si>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</si>
  <si>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</si>
  <si>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</si>
  <si>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</si>
  <si>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</si>
  <si>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Inter corporate deposits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</si>
  <si>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</si>
  <si>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</si>
  <si>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</si>
  <si>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Interest paid fin</t>
  </si>
  <si>
    <t>Dividends paid</t>
  </si>
  <si>
    <t>Financial liabilities</t>
  </si>
  <si>
    <t>Other financing items</t>
  </si>
  <si>
    <t>Net Cash Flow</t>
  </si>
  <si>
    <t>Redemp n Canc of Shares</t>
  </si>
  <si>
    <t>Acquisition of companies</t>
  </si>
  <si>
    <t>Proceeds from borrowings</t>
  </si>
  <si>
    <t>Repayment of borrowings</t>
  </si>
  <si>
    <t>MARUTI SUZUKI</t>
  </si>
  <si>
    <r>
      <t>Material Cost % </t>
    </r>
    <r>
      <rPr>
        <sz val="11"/>
        <color rgb="FF665EFD"/>
        <rFont val="Arial"/>
        <family val="2"/>
      </rPr>
      <t>-</t>
    </r>
  </si>
  <si>
    <t>Raw material cost</t>
  </si>
  <si>
    <t>Change in inventory</t>
  </si>
  <si>
    <r>
      <t>Net Profit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</si>
  <si>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</si>
  <si>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</si>
  <si>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Railway sidings</t>
  </si>
  <si>
    <r>
      <t>Sales </t>
    </r>
    <r>
      <rPr>
        <sz val="11"/>
        <color rgb="FF665EFD"/>
        <rFont val="Arial"/>
        <family val="2"/>
      </rPr>
      <t>+</t>
    </r>
  </si>
  <si>
    <t>Profit from Associates</t>
  </si>
  <si>
    <t>Minority share</t>
  </si>
  <si>
    <t>TVS MOTORS</t>
  </si>
  <si>
    <t>Non controlling int</t>
  </si>
  <si>
    <r>
      <t>Trade receivables </t>
    </r>
    <r>
      <rPr>
        <sz val="11"/>
        <color rgb="FF665EFD"/>
        <rFont val="Arial"/>
        <family val="2"/>
      </rPr>
      <t>-</t>
    </r>
  </si>
  <si>
    <t>Receivables over 6m</t>
  </si>
  <si>
    <t>Receivables under 6m</t>
  </si>
  <si>
    <t>Prov for Doubtful</t>
  </si>
  <si>
    <t>Capital WIP</t>
  </si>
  <si>
    <t>Proceeds from deposits</t>
  </si>
  <si>
    <r>
      <t>Sales </t>
    </r>
    <r>
      <rPr>
        <sz val="11"/>
        <color rgb="FF665EFD"/>
        <rFont val="Arial"/>
        <family val="2"/>
      </rPr>
      <t>-</t>
    </r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</si>
  <si>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</si>
  <si>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</si>
  <si>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r>
      <t>Other Income </t>
    </r>
    <r>
      <rPr>
        <sz val="11"/>
        <color rgb="FF665EFD"/>
        <rFont val="Arial"/>
        <family val="2"/>
      </rPr>
      <t>-</t>
    </r>
  </si>
  <si>
    <r>
      <t>Net Profit </t>
    </r>
    <r>
      <rPr>
        <sz val="11"/>
        <color rgb="FF665EFD"/>
        <rFont val="Arial"/>
        <family val="2"/>
      </rPr>
      <t>-</t>
    </r>
  </si>
  <si>
    <t>Mahindra &amp; Mahindra</t>
  </si>
  <si>
    <r>
      <t>Borrowings </t>
    </r>
    <r>
      <rPr>
        <sz val="11"/>
        <color rgb="FF665EFD"/>
        <rFont val="Arial"/>
        <family val="2"/>
      </rPr>
      <t>-</t>
    </r>
  </si>
  <si>
    <t>Preference Capital</t>
  </si>
  <si>
    <r>
      <t>Other Liabilities </t>
    </r>
    <r>
      <rPr>
        <sz val="11"/>
        <color rgb="FF665EFD"/>
        <rFont val="Arial"/>
        <family val="2"/>
      </rPr>
      <t>-</t>
    </r>
  </si>
  <si>
    <r>
      <t>Fixed Assets </t>
    </r>
    <r>
      <rPr>
        <sz val="11"/>
        <color rgb="FF665EFD"/>
        <rFont val="Arial"/>
        <family val="2"/>
      </rPr>
      <t>-</t>
    </r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</si>
  <si>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</si>
  <si>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</si>
  <si>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</si>
  <si>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</si>
  <si>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t>Issue of shares on acq</t>
  </si>
  <si>
    <r>
      <t>Cash from Financing Activity </t>
    </r>
    <r>
      <rPr>
        <sz val="11"/>
        <color rgb="FF665EFD"/>
        <rFont val="Arial"/>
        <family val="2"/>
      </rPr>
      <t>-</t>
    </r>
  </si>
  <si>
    <t>INFOSYS</t>
  </si>
  <si>
    <r>
      <t>Sales </t>
    </r>
    <r>
      <rPr>
        <b/>
        <sz val="11"/>
        <color rgb="FF665EFD"/>
        <rFont val="Arial"/>
        <family val="2"/>
      </rPr>
      <t>-</t>
    </r>
  </si>
  <si>
    <r>
      <t>Expenses </t>
    </r>
    <r>
      <rPr>
        <b/>
        <sz val="11"/>
        <color rgb="FF665EFD"/>
        <rFont val="Arial"/>
        <family val="2"/>
      </rPr>
      <t>-</t>
    </r>
  </si>
  <si>
    <r>
      <t>Material Cost % </t>
    </r>
    <r>
      <rPr>
        <b/>
        <sz val="11"/>
        <color rgb="FF665EFD"/>
        <rFont val="Arial"/>
        <family val="2"/>
      </rPr>
      <t>+</t>
    </r>
  </si>
  <si>
    <r>
      <t>Other Income </t>
    </r>
    <r>
      <rPr>
        <b/>
        <sz val="11"/>
        <color rgb="FF665EFD"/>
        <rFont val="Arial"/>
        <family val="2"/>
      </rPr>
      <t>-</t>
    </r>
  </si>
  <si>
    <t>TCS</t>
  </si>
  <si>
    <r>
      <t>Trade receivables </t>
    </r>
    <r>
      <rPr>
        <sz val="11"/>
        <color rgb="FF665EFD"/>
        <rFont val="Arial"/>
        <family val="2"/>
      </rPr>
      <t>+</t>
    </r>
  </si>
  <si>
    <r>
      <t>Sales </t>
    </r>
    <r>
      <rPr>
        <sz val="11"/>
        <color rgb="FF665EFD"/>
        <rFont val="Arial"/>
        <family val="2"/>
      </rPr>
      <t>-</t>
    </r>
  </si>
  <si>
    <r>
      <t>Expenses </t>
    </r>
    <r>
      <rPr>
        <sz val="11"/>
        <color rgb="FF665EFD"/>
        <rFont val="Arial"/>
        <family val="2"/>
      </rPr>
      <t>-</t>
    </r>
  </si>
  <si>
    <r>
      <t>Other Income </t>
    </r>
    <r>
      <rPr>
        <sz val="11"/>
        <color rgb="FF665EFD"/>
        <rFont val="Arial"/>
        <family val="2"/>
      </rPr>
      <t>-</t>
    </r>
  </si>
  <si>
    <r>
      <t>Net Profit </t>
    </r>
    <r>
      <rPr>
        <sz val="11"/>
        <color rgb="FF665EFD"/>
        <rFont val="Arial"/>
        <family val="2"/>
      </rPr>
      <t>-</t>
    </r>
  </si>
  <si>
    <t>WIPRO</t>
  </si>
  <si>
    <r>
      <t>Borrowings </t>
    </r>
    <r>
      <rPr>
        <sz val="11"/>
        <color rgb="FF665EFD"/>
        <rFont val="Arial"/>
        <family val="2"/>
      </rPr>
      <t>-</t>
    </r>
  </si>
  <si>
    <r>
      <t>Other Liabilities </t>
    </r>
    <r>
      <rPr>
        <sz val="11"/>
        <color rgb="FF665EFD"/>
        <rFont val="Arial"/>
        <family val="2"/>
      </rPr>
      <t>-</t>
    </r>
  </si>
  <si>
    <r>
      <t>Fixed Assets </t>
    </r>
    <r>
      <rPr>
        <sz val="11"/>
        <color rgb="FF665EFD"/>
        <rFont val="Arial"/>
        <family val="2"/>
      </rPr>
      <t>-</t>
    </r>
  </si>
  <si>
    <r>
      <t>Other Assets </t>
    </r>
    <r>
      <rPr>
        <sz val="11"/>
        <color rgb="FF665EFD"/>
        <rFont val="Arial"/>
        <family val="2"/>
      </rPr>
      <t>-</t>
    </r>
  </si>
  <si>
    <r>
      <t>Cash from Operating Activity </t>
    </r>
    <r>
      <rPr>
        <sz val="11"/>
        <color rgb="FF665EFD"/>
        <rFont val="Arial"/>
        <family val="2"/>
      </rPr>
      <t>-</t>
    </r>
  </si>
  <si>
    <r>
      <t>Cash from Investing Activity </t>
    </r>
    <r>
      <rPr>
        <sz val="11"/>
        <color rgb="FF665EFD"/>
        <rFont val="Arial"/>
        <family val="2"/>
      </rPr>
      <t>-</t>
    </r>
  </si>
  <si>
    <r>
      <t>Cash from Financing Activity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</si>
  <si>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-</t>
    </r>
  </si>
  <si>
    <t>HCL</t>
  </si>
  <si>
    <t>Redemption of debentures</t>
  </si>
  <si>
    <t>Particulars</t>
  </si>
  <si>
    <t xml:space="preserve">Total Debt  </t>
  </si>
  <si>
    <t>Total Equity</t>
  </si>
  <si>
    <t>Debt Equity Ratio</t>
  </si>
  <si>
    <t>EBIT</t>
  </si>
  <si>
    <t>Interest Coverage Ratio</t>
  </si>
  <si>
    <t>Return on Assets</t>
  </si>
  <si>
    <t>Net Profit</t>
  </si>
  <si>
    <t>Share Holder Equity</t>
  </si>
  <si>
    <t>Return on Equity</t>
  </si>
  <si>
    <t>Leverage Summary for All Companies</t>
  </si>
  <si>
    <t>1. Maruti Suzuki</t>
  </si>
  <si>
    <t>3. Mahindra &amp; Mahindra (M&amp;M)</t>
  </si>
  <si>
    <r>
      <t>Debt-Equity Ratio:</t>
    </r>
    <r>
      <rPr>
        <sz val="14"/>
        <color rgb="FF000000"/>
        <rFont val="Calibri"/>
        <family val="2"/>
      </rPr>
      <t> ~0.00</t>
    </r>
    <r>
      <rPr>
        <b/>
        <sz val="14"/>
        <color rgb="FF000000"/>
        <rFont val="Calibri"/>
        <family val="2"/>
      </rPr>
      <t xml:space="preserve">
Classification: </t>
    </r>
    <r>
      <rPr>
        <sz val="14"/>
        <color rgb="FF000000"/>
        <rFont val="Calibri"/>
        <family val="2"/>
      </rPr>
      <t>Under-leveraged</t>
    </r>
    <r>
      <rPr>
        <b/>
        <sz val="14"/>
        <color rgb="FF000000"/>
        <rFont val="Calibri"/>
        <family val="2"/>
      </rPr>
      <t xml:space="preserve">
Summary: </t>
    </r>
    <r>
      <rPr>
        <sz val="14"/>
        <color rgb="FF000000"/>
        <rFont val="Calibri"/>
        <family val="2"/>
      </rPr>
      <t>Maruti is almost debt-free and relies overwhelmingly on equity financing. It carries extremely low financial risk.</t>
    </r>
  </si>
  <si>
    <r>
      <t>Debt-Equity Ratio:</t>
    </r>
    <r>
      <rPr>
        <sz val="14"/>
        <color rgb="FF000000"/>
        <rFont val="Calibri"/>
        <family val="2"/>
      </rPr>
      <t> ~1.63</t>
    </r>
    <r>
      <rPr>
        <b/>
        <sz val="14"/>
        <color rgb="FF000000"/>
        <rFont val="Calibri"/>
        <family val="2"/>
      </rPr>
      <t xml:space="preserve">
Classification: </t>
    </r>
    <r>
      <rPr>
        <sz val="14"/>
        <color rgb="FF000000"/>
        <rFont val="Calibri"/>
        <family val="2"/>
      </rPr>
      <t xml:space="preserve">Over-leveraged
</t>
    </r>
    <r>
      <rPr>
        <b/>
        <sz val="14"/>
        <color rgb="FF000000"/>
        <rFont val="Calibri"/>
        <family val="2"/>
      </rPr>
      <t>Summary:</t>
    </r>
    <r>
      <rPr>
        <sz val="14"/>
        <color rgb="FF000000"/>
        <rFont val="Calibri"/>
        <family val="2"/>
      </rPr>
      <t> M&amp;M uses considerable debt in its capital structure. A D/E above 1 shows higher reliance on borrowed funds compared to equity.</t>
    </r>
  </si>
  <si>
    <t>1. Wipro</t>
  </si>
  <si>
    <t>2. HCL Technologies</t>
  </si>
  <si>
    <t>3. TCS (Tata Consultancy Services)</t>
  </si>
  <si>
    <r>
      <rPr>
        <b/>
        <sz val="14"/>
        <color theme="1"/>
        <rFont val="Aptos Narrow"/>
        <family val="2"/>
        <scheme val="minor"/>
      </rPr>
      <t>Debt-Equity Ratio:</t>
    </r>
    <r>
      <rPr>
        <sz val="14"/>
        <color theme="1"/>
        <rFont val="Aptos Narrow"/>
        <family val="2"/>
        <scheme val="minor"/>
      </rPr>
      <t xml:space="preserve"> ~0.10
</t>
    </r>
    <r>
      <rPr>
        <b/>
        <sz val="14"/>
        <color theme="1"/>
        <rFont val="Aptos Narrow"/>
        <family val="2"/>
        <scheme val="minor"/>
      </rPr>
      <t>Classification</t>
    </r>
    <r>
      <rPr>
        <sz val="14"/>
        <color theme="1"/>
        <rFont val="Aptos Narrow"/>
        <family val="2"/>
        <scheme val="minor"/>
      </rPr>
      <t xml:space="preserve">: Under-leveraged
</t>
    </r>
    <r>
      <rPr>
        <b/>
        <sz val="14"/>
        <color theme="1"/>
        <rFont val="Aptos Narrow"/>
        <family val="2"/>
        <scheme val="minor"/>
      </rPr>
      <t>Summary</t>
    </r>
    <r>
      <rPr>
        <sz val="14"/>
        <color theme="1"/>
        <rFont val="Aptos Narrow"/>
        <family val="2"/>
        <scheme val="minor"/>
      </rPr>
      <t>: TCS maintains a very low D/E ratio, typical for major IT companies. The firm is highly stable with minimal dependence on debt.</t>
    </r>
  </si>
  <si>
    <r>
      <rPr>
        <b/>
        <sz val="14"/>
        <color theme="1"/>
        <rFont val="Calibri"/>
        <family val="2"/>
      </rPr>
      <t>Debt-Equity Ratio:</t>
    </r>
    <r>
      <rPr>
        <sz val="14"/>
        <color theme="1"/>
        <rFont val="Calibri"/>
        <family val="2"/>
      </rPr>
      <t xml:space="preserve"> ~0.20
</t>
    </r>
    <r>
      <rPr>
        <b/>
        <sz val="14"/>
        <color theme="1"/>
        <rFont val="Calibri"/>
        <family val="2"/>
      </rPr>
      <t>Classification</t>
    </r>
    <r>
      <rPr>
        <sz val="14"/>
        <color theme="1"/>
        <rFont val="Calibri"/>
        <family val="2"/>
      </rPr>
      <t xml:space="preserve">: Under-leveraged
</t>
    </r>
    <r>
      <rPr>
        <b/>
        <sz val="14"/>
        <color theme="1"/>
        <rFont val="Calibri"/>
        <family val="2"/>
      </rPr>
      <t>Summary</t>
    </r>
    <r>
      <rPr>
        <sz val="14"/>
        <color theme="1"/>
        <rFont val="Calibri"/>
        <family val="2"/>
      </rPr>
      <t>: WIPRO operates with low debt levels, indicating conservative financing and low financial leverage.</t>
    </r>
  </si>
  <si>
    <r>
      <rPr>
        <b/>
        <sz val="14"/>
        <color theme="1"/>
        <rFont val="Calibri"/>
        <family val="2"/>
      </rPr>
      <t>Debt-Equity Ratio: </t>
    </r>
    <r>
      <rPr>
        <sz val="14"/>
        <color theme="1"/>
        <rFont val="Calibri"/>
        <family val="2"/>
      </rPr>
      <t xml:space="preserve">~0.03
</t>
    </r>
    <r>
      <rPr>
        <b/>
        <sz val="14"/>
        <color theme="1"/>
        <rFont val="Calibri"/>
        <family val="2"/>
      </rPr>
      <t>Classification</t>
    </r>
    <r>
      <rPr>
        <sz val="14"/>
        <color theme="1"/>
        <rFont val="Calibri"/>
        <family val="2"/>
      </rPr>
      <t xml:space="preserve">: Under-leveraged
</t>
    </r>
    <r>
      <rPr>
        <b/>
        <sz val="14"/>
        <color theme="1"/>
        <rFont val="Calibri"/>
        <family val="2"/>
      </rPr>
      <t>Summary</t>
    </r>
    <r>
      <rPr>
        <sz val="14"/>
        <color theme="1"/>
        <rFont val="Calibri"/>
        <family val="2"/>
      </rPr>
      <t>: HCL uses very little debt. Its operations are primarily supported by equity, resulting in low leverage risk.</t>
    </r>
  </si>
  <si>
    <t>2. TVS Motors</t>
  </si>
  <si>
    <r>
      <t>Debt-Equity Ratio:</t>
    </r>
    <r>
      <rPr>
        <sz val="14"/>
        <color rgb="FF000000"/>
        <rFont val="Calibri"/>
        <family val="2"/>
      </rPr>
      <t> Between 0.24 and 0.31</t>
    </r>
    <r>
      <rPr>
        <b/>
        <sz val="14"/>
        <color rgb="FF000000"/>
        <rFont val="Calibri"/>
        <family val="2"/>
      </rPr>
      <t xml:space="preserve">
Classification: </t>
    </r>
    <r>
      <rPr>
        <sz val="14"/>
        <color rgb="FF000000"/>
        <rFont val="Calibri"/>
        <family val="2"/>
      </rPr>
      <t>Under-leveraged</t>
    </r>
    <r>
      <rPr>
        <b/>
        <sz val="14"/>
        <color rgb="FF000000"/>
        <rFont val="Calibri"/>
        <family val="2"/>
      </rPr>
      <t xml:space="preserve">
Summary: </t>
    </r>
    <r>
      <rPr>
        <sz val="14"/>
        <color rgb="FF000000"/>
        <rFont val="Calibri"/>
        <family val="2"/>
      </rPr>
      <t>Ratio below 1 indicates the company is not heavily reliant on debt. Debt are moderate and well below equity.</t>
    </r>
    <r>
      <rPr>
        <b/>
        <sz val="14"/>
        <color rgb="FF000000"/>
        <rFont val="Calibri"/>
        <family val="2"/>
      </rPr>
      <t xml:space="preserve"> </t>
    </r>
    <r>
      <rPr>
        <sz val="14"/>
        <color rgb="FF000000"/>
        <rFont val="Calibri"/>
        <family val="2"/>
      </rPr>
      <t>Financial risk is low.</t>
    </r>
  </si>
  <si>
    <r>
      <rPr>
        <b/>
        <sz val="14"/>
        <color theme="1"/>
        <rFont val="Calibri"/>
        <family val="2"/>
      </rPr>
      <t>Debt–Equity Ratio:</t>
    </r>
    <r>
      <rPr>
        <sz val="14"/>
        <color theme="1"/>
        <rFont val="Calibri"/>
        <family val="2"/>
      </rPr>
      <t xml:space="preserve"> ~0.10
</t>
    </r>
    <r>
      <rPr>
        <b/>
        <sz val="14"/>
        <color theme="1"/>
        <rFont val="Calibri"/>
        <family val="2"/>
      </rPr>
      <t>Classification</t>
    </r>
    <r>
      <rPr>
        <sz val="14"/>
        <color theme="1"/>
        <rFont val="Calibri"/>
        <family val="2"/>
      </rPr>
      <t xml:space="preserve">: Under-leveraged
</t>
    </r>
    <r>
      <rPr>
        <b/>
        <sz val="14"/>
        <color theme="1"/>
        <rFont val="Calibri"/>
        <family val="2"/>
      </rPr>
      <t>Summary</t>
    </r>
    <r>
      <rPr>
        <sz val="14"/>
        <color theme="1"/>
        <rFont val="Calibri"/>
        <family val="2"/>
      </rPr>
      <t>: Infosys operates with very low debt and strong equity support, showing conservative financing, low financial risk, and stable long-term performance.</t>
    </r>
  </si>
  <si>
    <t>4. Infosys</t>
  </si>
  <si>
    <t>4. Hero Motors</t>
  </si>
  <si>
    <r>
      <rPr>
        <b/>
        <sz val="14"/>
        <color theme="1"/>
        <rFont val="Calibri"/>
        <family val="2"/>
      </rPr>
      <t>Debt–Equity Ratio</t>
    </r>
    <r>
      <rPr>
        <sz val="14"/>
        <color theme="1"/>
        <rFont val="Calibri"/>
        <family val="2"/>
      </rPr>
      <t xml:space="preserve">: ~1.20
</t>
    </r>
    <r>
      <rPr>
        <b/>
        <sz val="14"/>
        <color theme="1"/>
        <rFont val="Calibri"/>
        <family val="2"/>
      </rPr>
      <t>Classification</t>
    </r>
    <r>
      <rPr>
        <sz val="14"/>
        <color theme="1"/>
        <rFont val="Calibri"/>
        <family val="2"/>
      </rPr>
      <t xml:space="preserve">: Over-leveraged
</t>
    </r>
    <r>
      <rPr>
        <b/>
        <sz val="14"/>
        <color theme="1"/>
        <rFont val="Calibri"/>
        <family val="2"/>
      </rPr>
      <t>Summary</t>
    </r>
    <r>
      <rPr>
        <sz val="14"/>
        <color theme="1"/>
        <rFont val="Calibri"/>
        <family val="2"/>
      </rPr>
      <t>: Hero Motors relies heavily on debt financing, indicating high financial leverage and greater exposure to interest and earnings volatility.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</si>
</sst>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b/>
      <sz val="11"/>
      <color rgb="FF22222F"/>
      <name val="Arial"/>
      <family val="2"/>
    </font>
    <font>
      <b/>
      <sz val="11"/>
      <color rgb="FF665EFD"/>
      <name val="Arial"/>
      <family val="2"/>
    </font>
    <font>
      <b/>
      <sz val="11"/>
      <color rgb="FF606F7B"/>
      <name val="Arial"/>
      <family val="2"/>
    </font>
    <font>
      <sz val="11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14"/>
      <color rgb="FF606F7B"/>
      <name val="Times New Roman"/>
      <family val="1"/>
    </font>
    <font>
      <b/>
      <sz val="14"/>
      <color theme="1"/>
      <name val="Times New Roman"/>
      <family val="1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3">
    <xf numFmtId="0" fontId="0" fillId="0" borderId="0" xfId="0"/>
    <xf numFmtId="0" fontId="2" fillId="2" borderId="0" xfId="0" applyFont="1" applyFill="1"/>
    <xf numFmtId="17" fontId="4" fillId="2" borderId="0" xfId="0" applyNumberFormat="1" applyFont="1" applyFill="1" applyAlignment="1">
      <alignment horizontal="center"/>
    </xf>
    <xf numFmtId="0" fontId="6" fillId="0" borderId="0" xfId="0" applyFont="1"/>
    <xf numFmtId="3" fontId="6" fillId="0" borderId="0" xfId="0" applyNumberFormat="1" applyFont="1"/>
    <xf numFmtId="0" fontId="8" fillId="3" borderId="0" xfId="0" applyFont="1" applyFill="1"/>
    <xf numFmtId="3" fontId="8" fillId="3" borderId="0" xfId="0" applyNumberFormat="1" applyFont="1" applyFill="1"/>
    <xf numFmtId="0" fontId="2" fillId="2" borderId="1" xfId="0" applyFont="1" applyFill="1" applyBorder="1"/>
    <xf numFmtId="17" fontId="4" fillId="2" borderId="1" xfId="0" applyNumberFormat="1" applyFont="1" applyFill="1" applyBorder="1" applyAlignment="1">
      <alignment horizontal="center"/>
    </xf>
    <xf numFmtId="0" fontId="6" fillId="0" borderId="1" xfId="0" applyFont="1" applyBorder="1"/>
    <xf numFmtId="3" fontId="6" fillId="0" borderId="1" xfId="0" applyNumberFormat="1" applyFont="1" applyBorder="1"/>
    <xf numFmtId="10" fontId="6" fillId="0" borderId="1" xfId="0" applyNumberFormat="1" applyFont="1" applyBorder="1"/>
    <xf numFmtId="9" fontId="6" fillId="0" borderId="1" xfId="0" applyNumberFormat="1" applyFont="1" applyBorder="1"/>
    <xf numFmtId="0" fontId="8" fillId="3" borderId="1" xfId="0" applyFont="1" applyFill="1" applyBorder="1"/>
    <xf numFmtId="3" fontId="8" fillId="3" borderId="1" xfId="0" applyNumberFormat="1" applyFont="1" applyFill="1" applyBorder="1"/>
    <xf numFmtId="17" fontId="5" fillId="0" borderId="0" xfId="0" applyNumberFormat="1" applyFont="1"/>
    <xf numFmtId="0" fontId="6" fillId="3" borderId="0" xfId="0" applyFont="1" applyFill="1"/>
    <xf numFmtId="3" fontId="6" fillId="3" borderId="0" xfId="0" applyNumberFormat="1" applyFont="1" applyFill="1"/>
    <xf numFmtId="17" fontId="5" fillId="4" borderId="1" xfId="0" applyNumberFormat="1" applyFont="1" applyFill="1" applyBorder="1" applyAlignment="1">
      <alignment horizontal="right" vertical="top" wrapText="1"/>
    </xf>
    <xf numFmtId="17" fontId="5" fillId="4" borderId="1" xfId="0" applyNumberFormat="1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left" vertical="top"/>
    </xf>
    <xf numFmtId="3" fontId="6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left" vertical="top"/>
    </xf>
    <xf numFmtId="0" fontId="6" fillId="5" borderId="1" xfId="0" applyFont="1" applyFill="1" applyBorder="1" applyAlignment="1">
      <alignment horizontal="right" vertical="center" wrapText="1"/>
    </xf>
    <xf numFmtId="3" fontId="6" fillId="4" borderId="1" xfId="0" applyNumberFormat="1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left" vertical="top"/>
    </xf>
    <xf numFmtId="17" fontId="10" fillId="6" borderId="1" xfId="0" applyNumberFormat="1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right" vertical="top" wrapText="1"/>
    </xf>
    <xf numFmtId="3" fontId="6" fillId="4" borderId="1" xfId="0" applyNumberFormat="1" applyFont="1" applyFill="1" applyBorder="1" applyAlignment="1">
      <alignment horizontal="right" vertical="top" wrapText="1"/>
    </xf>
    <xf numFmtId="3" fontId="6" fillId="5" borderId="1" xfId="0" applyNumberFormat="1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right" vertical="top" wrapText="1"/>
    </xf>
    <xf numFmtId="0" fontId="0" fillId="4" borderId="0" xfId="0" applyFill="1"/>
    <xf numFmtId="17" fontId="15" fillId="0" borderId="0" xfId="0" applyNumberFormat="1" applyFont="1" applyAlignment="1">
      <alignment horizontal="right" vertical="center" wrapText="1" indent="1"/>
    </xf>
    <xf numFmtId="3" fontId="16" fillId="0" borderId="0" xfId="0" applyNumberFormat="1" applyFont="1" applyAlignment="1">
      <alignment horizontal="right" vertical="center" wrapText="1" indent="1"/>
    </xf>
    <xf numFmtId="10" fontId="6" fillId="0" borderId="0" xfId="0" applyNumberFormat="1" applyFont="1" applyAlignment="1">
      <alignment horizontal="right" vertical="center" wrapText="1" indent="1"/>
    </xf>
    <xf numFmtId="9" fontId="16" fillId="0" borderId="0" xfId="0" applyNumberFormat="1" applyFont="1" applyAlignment="1">
      <alignment horizontal="right" vertical="center" wrapText="1" indent="1"/>
    </xf>
    <xf numFmtId="0" fontId="16" fillId="0" borderId="0" xfId="0" applyFont="1" applyAlignment="1">
      <alignment horizontal="right" vertical="center" wrapText="1" indent="1"/>
    </xf>
    <xf numFmtId="3" fontId="6" fillId="0" borderId="0" xfId="0" applyNumberFormat="1" applyFont="1" applyAlignment="1">
      <alignment horizontal="right" vertical="center" wrapText="1" indent="1"/>
    </xf>
    <xf numFmtId="0" fontId="6" fillId="0" borderId="0" xfId="0" applyFont="1" applyAlignment="1">
      <alignment horizontal="right" vertical="center" wrapText="1" indent="1"/>
    </xf>
    <xf numFmtId="9" fontId="6" fillId="0" borderId="0" xfId="0" applyNumberFormat="1" applyFont="1" applyAlignment="1">
      <alignment horizontal="right" vertical="center" wrapText="1" indent="1"/>
    </xf>
    <xf numFmtId="0" fontId="0" fillId="0" borderId="1" xfId="0" applyBorder="1"/>
    <xf numFmtId="17" fontId="15" fillId="0" borderId="1" xfId="0" applyNumberFormat="1" applyFont="1" applyBorder="1" applyAlignment="1">
      <alignment horizontal="right" vertical="center" wrapText="1" indent="1"/>
    </xf>
    <xf numFmtId="0" fontId="16" fillId="0" borderId="1" xfId="0" applyFont="1" applyBorder="1" applyAlignment="1">
      <alignment horizontal="left" vertical="center" indent="2"/>
    </xf>
    <xf numFmtId="3" fontId="1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right" vertical="center" wrapText="1" indent="1"/>
    </xf>
    <xf numFmtId="0" fontId="16" fillId="0" borderId="1" xfId="0" applyFont="1" applyBorder="1" applyAlignment="1">
      <alignment horizontal="left" vertical="center"/>
    </xf>
    <xf numFmtId="9" fontId="16" fillId="0" borderId="1" xfId="0" applyNumberFormat="1" applyFont="1" applyBorder="1" applyAlignment="1">
      <alignment horizontal="right" vertical="center" wrapText="1" indent="1"/>
    </xf>
    <xf numFmtId="3" fontId="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right" vertical="center" wrapText="1" indent="1"/>
    </xf>
    <xf numFmtId="9" fontId="6" fillId="0" borderId="1" xfId="0" applyNumberFormat="1" applyFont="1" applyBorder="1" applyAlignment="1">
      <alignment horizontal="right" vertical="center" wrapText="1" indent="1"/>
    </xf>
    <xf numFmtId="0" fontId="6" fillId="0" borderId="1" xfId="0" applyFont="1" applyBorder="1" applyAlignment="1">
      <alignment horizontal="left" vertical="center" indent="2"/>
    </xf>
    <xf numFmtId="0" fontId="16" fillId="0" borderId="1" xfId="0" applyFont="1" applyBorder="1" applyAlignment="1">
      <alignment horizontal="right" vertical="center" wrapText="1" indent="1"/>
    </xf>
    <xf numFmtId="17" fontId="5" fillId="0" borderId="1" xfId="0" applyNumberFormat="1" applyFont="1" applyBorder="1" applyAlignment="1">
      <alignment horizontal="right" vertical="top" wrapText="1"/>
    </xf>
    <xf numFmtId="17" fontId="5" fillId="0" borderId="1" xfId="0" applyNumberFormat="1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6" fillId="0" borderId="1" xfId="0" applyFont="1" applyBorder="1" applyAlignment="1">
      <alignment horizontal="left" vertical="top"/>
    </xf>
    <xf numFmtId="3" fontId="6" fillId="0" borderId="1" xfId="0" applyNumberFormat="1" applyFont="1" applyBorder="1" applyAlignment="1">
      <alignment horizontal="left" wrapText="1"/>
    </xf>
    <xf numFmtId="3" fontId="6" fillId="0" borderId="0" xfId="0" applyNumberFormat="1" applyFont="1" applyAlignment="1">
      <alignment horizontal="left" wrapText="1"/>
    </xf>
    <xf numFmtId="10" fontId="6" fillId="0" borderId="1" xfId="0" applyNumberFormat="1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9" fontId="6" fillId="0" borderId="1" xfId="0" applyNumberFormat="1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9" fontId="6" fillId="0" borderId="0" xfId="0" applyNumberFormat="1" applyFont="1" applyAlignment="1">
      <alignment horizontal="left" wrapText="1"/>
    </xf>
    <xf numFmtId="0" fontId="0" fillId="0" borderId="0" xfId="0" applyAlignment="1">
      <alignment horizontal="left"/>
    </xf>
    <xf numFmtId="0" fontId="14" fillId="0" borderId="0" xfId="0" applyFont="1" applyAlignment="1">
      <alignment vertical="center"/>
    </xf>
    <xf numFmtId="3" fontId="6" fillId="0" borderId="0" xfId="0" applyNumberFormat="1" applyFont="1" applyAlignment="1">
      <alignment horizontal="right" vertical="center" wrapText="1"/>
    </xf>
    <xf numFmtId="2" fontId="6" fillId="0" borderId="0" xfId="1" applyNumberFormat="1" applyFont="1" applyFill="1" applyBorder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17" fontId="13" fillId="0" borderId="1" xfId="0" applyNumberFormat="1" applyFont="1" applyBorder="1" applyAlignment="1">
      <alignment horizontal="right" vertical="center" wrapText="1"/>
    </xf>
    <xf numFmtId="3" fontId="6" fillId="0" borderId="1" xfId="0" applyNumberFormat="1" applyFont="1" applyBorder="1" applyAlignment="1">
      <alignment horizontal="right" vertical="center" wrapText="1"/>
    </xf>
    <xf numFmtId="2" fontId="6" fillId="0" borderId="1" xfId="1" applyNumberFormat="1" applyFont="1" applyFill="1" applyBorder="1" applyAlignment="1">
      <alignment horizontal="left" vertical="center"/>
    </xf>
    <xf numFmtId="2" fontId="6" fillId="0" borderId="1" xfId="1" applyNumberFormat="1" applyFont="1" applyFill="1" applyBorder="1" applyAlignment="1">
      <alignment horizontal="right" vertical="center" wrapText="1"/>
    </xf>
    <xf numFmtId="2" fontId="6" fillId="0" borderId="1" xfId="0" applyNumberFormat="1" applyFont="1" applyBorder="1" applyAlignment="1">
      <alignment horizontal="left" vertical="center"/>
    </xf>
    <xf numFmtId="2" fontId="6" fillId="0" borderId="1" xfId="0" applyNumberFormat="1" applyFont="1" applyBorder="1" applyAlignment="1">
      <alignment horizontal="right" vertical="center" wrapText="1"/>
    </xf>
    <xf numFmtId="9" fontId="6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17" fontId="15" fillId="0" borderId="2" xfId="0" applyNumberFormat="1" applyFont="1" applyBorder="1" applyAlignment="1">
      <alignment horizontal="right" vertical="center" wrapText="1" indent="1"/>
    </xf>
    <xf numFmtId="3" fontId="16" fillId="0" borderId="3" xfId="0" applyNumberFormat="1" applyFont="1" applyBorder="1" applyAlignment="1">
      <alignment horizontal="right" vertical="center" wrapText="1" indent="1"/>
    </xf>
    <xf numFmtId="0" fontId="16" fillId="0" borderId="3" xfId="0" applyFont="1" applyBorder="1" applyAlignment="1">
      <alignment horizontal="right" vertical="center" wrapText="1" indent="1"/>
    </xf>
    <xf numFmtId="0" fontId="5" fillId="0" borderId="1" xfId="0" applyFont="1" applyBorder="1" applyAlignment="1">
      <alignment horizontal="left" vertical="center" indent="2"/>
    </xf>
    <xf numFmtId="0" fontId="11" fillId="0" borderId="0" xfId="0" applyFont="1" applyAlignment="1">
      <alignment vertical="top"/>
    </xf>
    <xf numFmtId="4" fontId="12" fillId="0" borderId="0" xfId="0" applyNumberFormat="1" applyFont="1" applyAlignment="1">
      <alignment wrapText="1"/>
    </xf>
    <xf numFmtId="17" fontId="5" fillId="0" borderId="1" xfId="0" applyNumberFormat="1" applyFont="1" applyBorder="1" applyAlignment="1">
      <alignment horizontal="right" vertical="center" wrapText="1"/>
    </xf>
    <xf numFmtId="17" fontId="14" fillId="0" borderId="1" xfId="0" applyNumberFormat="1" applyFont="1" applyBorder="1"/>
    <xf numFmtId="0" fontId="15" fillId="0" borderId="2" xfId="0" applyFont="1" applyBorder="1" applyAlignment="1">
      <alignment horizontal="right" vertical="center" wrapText="1" indent="1"/>
    </xf>
    <xf numFmtId="0" fontId="16" fillId="5" borderId="1" xfId="0" applyFont="1" applyFill="1" applyBorder="1" applyAlignment="1">
      <alignment horizontal="left" vertical="center" indent="2"/>
    </xf>
    <xf numFmtId="0" fontId="1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left" vertical="center" indent="2"/>
    </xf>
    <xf numFmtId="0" fontId="6" fillId="4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right" vertical="center" wrapText="1" indent="1"/>
    </xf>
    <xf numFmtId="0" fontId="3" fillId="0" borderId="0" xfId="0" applyFont="1"/>
    <xf numFmtId="3" fontId="8" fillId="0" borderId="3" xfId="0" applyNumberFormat="1" applyFont="1" applyBorder="1" applyAlignment="1">
      <alignment horizontal="right" vertical="center" wrapText="1" indent="1"/>
    </xf>
    <xf numFmtId="0" fontId="8" fillId="0" borderId="0" xfId="0" applyFont="1" applyAlignment="1">
      <alignment horizontal="right" vertical="center" wrapText="1" indent="1"/>
    </xf>
    <xf numFmtId="9" fontId="8" fillId="0" borderId="0" xfId="0" applyNumberFormat="1" applyFont="1" applyAlignment="1">
      <alignment horizontal="right" vertical="center" wrapText="1" indent="1"/>
    </xf>
    <xf numFmtId="3" fontId="8" fillId="0" borderId="0" xfId="0" applyNumberFormat="1" applyFont="1" applyAlignment="1">
      <alignment horizontal="right" vertical="center" wrapText="1" indent="1"/>
    </xf>
    <xf numFmtId="17" fontId="10" fillId="0" borderId="1" xfId="0" applyNumberFormat="1" applyFont="1" applyBorder="1" applyAlignment="1">
      <alignment horizontal="right" vertical="center" wrapText="1" indent="1"/>
    </xf>
    <xf numFmtId="0" fontId="8" fillId="5" borderId="1" xfId="0" applyFont="1" applyFill="1" applyBorder="1" applyAlignment="1">
      <alignment horizontal="left" vertical="center" indent="2"/>
    </xf>
    <xf numFmtId="3" fontId="8" fillId="0" borderId="1" xfId="0" applyNumberFormat="1" applyFont="1" applyBorder="1" applyAlignment="1">
      <alignment horizontal="right" vertical="center" wrapText="1" indent="1"/>
    </xf>
    <xf numFmtId="0" fontId="8" fillId="5" borderId="1" xfId="0" applyFont="1" applyFill="1" applyBorder="1" applyAlignment="1">
      <alignment horizontal="left" vertical="center"/>
    </xf>
    <xf numFmtId="10" fontId="8" fillId="0" borderId="1" xfId="0" applyNumberFormat="1" applyFont="1" applyBorder="1" applyAlignment="1">
      <alignment horizontal="right" vertical="center" wrapText="1" indent="1"/>
    </xf>
    <xf numFmtId="0" fontId="8" fillId="4" borderId="1" xfId="0" applyFont="1" applyFill="1" applyBorder="1" applyAlignment="1">
      <alignment horizontal="left" vertical="center" indent="2"/>
    </xf>
    <xf numFmtId="0" fontId="8" fillId="4" borderId="1" xfId="0" applyFont="1" applyFill="1" applyBorder="1" applyAlignment="1">
      <alignment horizontal="left" vertical="center"/>
    </xf>
    <xf numFmtId="9" fontId="8" fillId="0" borderId="1" xfId="0" applyNumberFormat="1" applyFont="1" applyBorder="1" applyAlignment="1">
      <alignment horizontal="right" vertical="center" wrapText="1" indent="1"/>
    </xf>
    <xf numFmtId="0" fontId="8" fillId="0" borderId="1" xfId="0" applyFont="1" applyBorder="1" applyAlignment="1">
      <alignment horizontal="right" vertical="center" wrapText="1" indent="1"/>
    </xf>
    <xf numFmtId="17" fontId="15" fillId="4" borderId="1" xfId="0" applyNumberFormat="1" applyFont="1" applyFill="1" applyBorder="1" applyAlignment="1">
      <alignment horizontal="right" vertical="center" wrapText="1" indent="1"/>
    </xf>
    <xf numFmtId="0" fontId="6" fillId="5" borderId="1" xfId="0" applyFont="1" applyFill="1" applyBorder="1" applyAlignment="1">
      <alignment horizontal="left" vertical="center" indent="2"/>
    </xf>
    <xf numFmtId="0" fontId="6" fillId="5" borderId="1" xfId="0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left" vertical="center" indent="2"/>
    </xf>
    <xf numFmtId="3" fontId="6" fillId="4" borderId="1" xfId="0" applyNumberFormat="1" applyFont="1" applyFill="1" applyBorder="1" applyAlignment="1">
      <alignment horizontal="right" vertical="center" wrapText="1" indent="1"/>
    </xf>
    <xf numFmtId="3" fontId="16" fillId="5" borderId="1" xfId="0" applyNumberFormat="1" applyFont="1" applyFill="1" applyBorder="1" applyAlignment="1">
      <alignment horizontal="right" vertical="center" wrapText="1" indent="1"/>
    </xf>
    <xf numFmtId="3" fontId="6" fillId="5" borderId="1" xfId="0" applyNumberFormat="1" applyFont="1" applyFill="1" applyBorder="1" applyAlignment="1">
      <alignment horizontal="right" vertical="center" wrapText="1" indent="1"/>
    </xf>
    <xf numFmtId="3" fontId="16" fillId="4" borderId="1" xfId="0" applyNumberFormat="1" applyFont="1" applyFill="1" applyBorder="1" applyAlignment="1">
      <alignment horizontal="right" vertical="center" wrapText="1" indent="1"/>
    </xf>
    <xf numFmtId="0" fontId="6" fillId="4" borderId="1" xfId="0" applyFont="1" applyFill="1" applyBorder="1" applyAlignment="1">
      <alignment horizontal="right" vertical="center" wrapText="1" indent="1"/>
    </xf>
    <xf numFmtId="0" fontId="16" fillId="4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7" fontId="17" fillId="4" borderId="1" xfId="0" applyNumberFormat="1" applyFont="1" applyFill="1" applyBorder="1" applyAlignment="1">
      <alignment horizontal="right" vertical="center" wrapText="1" indent="1"/>
    </xf>
    <xf numFmtId="0" fontId="18" fillId="5" borderId="1" xfId="0" applyFont="1" applyFill="1" applyBorder="1" applyAlignment="1">
      <alignment horizontal="left" vertical="center" indent="2"/>
    </xf>
    <xf numFmtId="3" fontId="18" fillId="5" borderId="1" xfId="0" applyNumberFormat="1" applyFont="1" applyFill="1" applyBorder="1" applyAlignment="1">
      <alignment horizontal="right" vertical="center" wrapText="1" indent="1"/>
    </xf>
    <xf numFmtId="10" fontId="6" fillId="5" borderId="1" xfId="0" applyNumberFormat="1" applyFont="1" applyFill="1" applyBorder="1" applyAlignment="1">
      <alignment horizontal="right" vertical="center" wrapText="1" indent="1"/>
    </xf>
    <xf numFmtId="0" fontId="18" fillId="4" borderId="1" xfId="0" applyFont="1" applyFill="1" applyBorder="1" applyAlignment="1">
      <alignment horizontal="left" vertical="center" indent="2"/>
    </xf>
    <xf numFmtId="3" fontId="18" fillId="4" borderId="1" xfId="0" applyNumberFormat="1" applyFont="1" applyFill="1" applyBorder="1" applyAlignment="1">
      <alignment horizontal="right" vertical="center" wrapText="1" indent="1"/>
    </xf>
    <xf numFmtId="9" fontId="6" fillId="4" borderId="1" xfId="0" applyNumberFormat="1" applyFont="1" applyFill="1" applyBorder="1" applyAlignment="1">
      <alignment horizontal="right" vertical="center" wrapText="1" indent="1"/>
    </xf>
    <xf numFmtId="9" fontId="6" fillId="5" borderId="1" xfId="0" applyNumberFormat="1" applyFont="1" applyFill="1" applyBorder="1" applyAlignment="1">
      <alignment horizontal="right" vertical="center" wrapText="1" indent="1"/>
    </xf>
    <xf numFmtId="0" fontId="18" fillId="4" borderId="1" xfId="0" applyFont="1" applyFill="1" applyBorder="1" applyAlignment="1">
      <alignment horizontal="left" vertical="center"/>
    </xf>
    <xf numFmtId="0" fontId="18" fillId="5" borderId="1" xfId="0" applyFont="1" applyFill="1" applyBorder="1" applyAlignment="1">
      <alignment horizontal="left" vertical="center"/>
    </xf>
    <xf numFmtId="0" fontId="18" fillId="4" borderId="1" xfId="0" applyFont="1" applyFill="1" applyBorder="1" applyAlignment="1">
      <alignment horizontal="right" vertical="center" wrapText="1" indent="1"/>
    </xf>
    <xf numFmtId="0" fontId="18" fillId="5" borderId="1" xfId="0" applyFont="1" applyFill="1" applyBorder="1" applyAlignment="1">
      <alignment horizontal="right" vertical="center" wrapText="1" indent="1"/>
    </xf>
    <xf numFmtId="0" fontId="0" fillId="7" borderId="1" xfId="0" applyFill="1" applyBorder="1"/>
    <xf numFmtId="17" fontId="17" fillId="7" borderId="1" xfId="0" applyNumberFormat="1" applyFont="1" applyFill="1" applyBorder="1" applyAlignment="1">
      <alignment horizontal="right" vertical="center" wrapText="1" indent="1"/>
    </xf>
    <xf numFmtId="0" fontId="18" fillId="7" borderId="1" xfId="0" applyFont="1" applyFill="1" applyBorder="1" applyAlignment="1">
      <alignment horizontal="left" vertical="center" indent="2"/>
    </xf>
    <xf numFmtId="3" fontId="18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left" vertical="center"/>
    </xf>
    <xf numFmtId="10" fontId="6" fillId="7" borderId="1" xfId="0" applyNumberFormat="1" applyFont="1" applyFill="1" applyBorder="1" applyAlignment="1">
      <alignment horizontal="right" vertical="center" wrapText="1" indent="1"/>
    </xf>
    <xf numFmtId="0" fontId="18" fillId="7" borderId="1" xfId="0" applyFont="1" applyFill="1" applyBorder="1" applyAlignment="1">
      <alignment horizontal="left" vertical="center"/>
    </xf>
    <xf numFmtId="9" fontId="18" fillId="7" borderId="1" xfId="0" applyNumberFormat="1" applyFont="1" applyFill="1" applyBorder="1" applyAlignment="1">
      <alignment horizontal="right" vertical="center" wrapText="1" indent="1"/>
    </xf>
    <xf numFmtId="3" fontId="6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right" vertical="center" wrapText="1" indent="1"/>
    </xf>
    <xf numFmtId="9" fontId="6" fillId="7" borderId="1" xfId="0" applyNumberFormat="1" applyFont="1" applyFill="1" applyBorder="1" applyAlignment="1">
      <alignment horizontal="right" vertical="center" wrapText="1" indent="1"/>
    </xf>
    <xf numFmtId="0" fontId="6" fillId="7" borderId="1" xfId="0" applyFont="1" applyFill="1" applyBorder="1" applyAlignment="1">
      <alignment horizontal="left" vertical="center" indent="2"/>
    </xf>
    <xf numFmtId="0" fontId="18" fillId="7" borderId="1" xfId="0" applyFont="1" applyFill="1" applyBorder="1" applyAlignment="1">
      <alignment horizontal="right" vertical="center" wrapText="1" indent="1"/>
    </xf>
    <xf numFmtId="0" fontId="19" fillId="0" borderId="1" xfId="0" applyFont="1" applyBorder="1"/>
    <xf numFmtId="3" fontId="0" fillId="0" borderId="1" xfId="0" applyNumberFormat="1" applyBorder="1"/>
    <xf numFmtId="3" fontId="6" fillId="7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6" fillId="7" borderId="1" xfId="0" applyNumberFormat="1" applyFont="1" applyFill="1" applyBorder="1" applyAlignment="1">
      <alignment horizontal="right" vertical="center" wrapText="1"/>
    </xf>
    <xf numFmtId="0" fontId="20" fillId="9" borderId="1" xfId="0" applyFont="1" applyFill="1" applyBorder="1"/>
    <xf numFmtId="164" fontId="8" fillId="9" borderId="1" xfId="0" applyNumberFormat="1" applyFont="1" applyFill="1" applyBorder="1" applyAlignment="1">
      <alignment horizontal="center" vertical="center" wrapText="1"/>
    </xf>
    <xf numFmtId="164" fontId="20" fillId="9" borderId="1" xfId="0" applyNumberFormat="1" applyFont="1" applyFill="1" applyBorder="1"/>
    <xf numFmtId="0" fontId="20" fillId="8" borderId="1" xfId="0" applyFont="1" applyFill="1" applyBorder="1"/>
    <xf numFmtId="0" fontId="0" fillId="9" borderId="1" xfId="0" applyFill="1" applyBorder="1"/>
    <xf numFmtId="0" fontId="3" fillId="9" borderId="1" xfId="0" applyFont="1" applyFill="1" applyBorder="1"/>
    <xf numFmtId="0" fontId="22" fillId="0" borderId="0" xfId="0" applyFont="1"/>
    <xf numFmtId="0" fontId="23" fillId="0" borderId="0" xfId="0" applyFont="1"/>
    <xf numFmtId="0" fontId="21" fillId="0" borderId="0" xfId="0" applyFont="1"/>
    <xf numFmtId="0" fontId="25" fillId="0" borderId="0" xfId="0" applyFont="1" applyAlignment="1">
      <alignment vertical="top" wrapText="1"/>
    </xf>
    <xf numFmtId="0" fontId="24" fillId="10" borderId="0" xfId="0" applyFont="1" applyFill="1"/>
    <xf numFmtId="0" fontId="21" fillId="11" borderId="0" xfId="0" applyFont="1" applyFill="1"/>
    <xf numFmtId="0" fontId="21" fillId="10" borderId="0" xfId="0" applyFont="1" applyFill="1"/>
    <xf numFmtId="0" fontId="24" fillId="10" borderId="0" xfId="0" applyFont="1" applyFill="1"/>
    <xf numFmtId="0" fontId="29" fillId="0" borderId="0" xfId="0" applyFont="1" applyAlignment="1">
      <alignment wrapText="1"/>
    </xf>
    <xf numFmtId="0" fontId="29" fillId="0" borderId="0" xfId="0" applyFont="1"/>
    <xf numFmtId="0" fontId="25" fillId="0" borderId="0" xfId="0" applyFont="1" applyAlignment="1">
      <alignment vertical="center" wrapText="1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 wrapText="1"/>
    </xf>
    <xf numFmtId="0" fontId="29" fillId="0" borderId="0" xfId="0" applyFont="1" applyAlignment="1">
      <alignment vertical="center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9DD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20411</xdr:colOff>
      <xdr:row>0</xdr:row>
      <xdr:rowOff>13608</xdr:rowOff>
    </xdr:from>
    <xdr:to>
      <xdr:col>29</xdr:col>
      <xdr:colOff>598714</xdr:colOff>
      <xdr:row>47</xdr:row>
      <xdr:rowOff>162436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29EC908-3723-5560-6366-7BBE4949A50B}"/>
            </a:ext>
          </a:extLst>
        </xdr:cNvPr>
        <xdr:cNvSpPr/>
      </xdr:nvSpPr>
      <xdr:spPr>
        <a:xfrm>
          <a:off x="20411" y="13608"/>
          <a:ext cx="19322143" cy="878256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22</xdr:col>
      <xdr:colOff>479004</xdr:colOff>
      <xdr:row>26</xdr:row>
      <xdr:rowOff>95250</xdr:rowOff>
    </xdr:from>
    <xdr:to>
      <xdr:col>29</xdr:col>
      <xdr:colOff>170090</xdr:colOff>
      <xdr:row>41</xdr:row>
      <xdr:rowOff>25231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7B0EE30-81E2-76C3-1773-A1DB837C4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98468" y="4871357"/>
          <a:ext cx="4215462" cy="2685428"/>
        </a:xfrm>
        <a:prstGeom prst="rect">
          <a:avLst/>
        </a:prstGeom>
      </xdr:spPr>
    </xdr:pic>
    <xdr:clientData/>
  </xdr:twoCellAnchor>
  <xdr:twoCellAnchor editAs="oneCell">
    <xdr:from>
      <xdr:col>15</xdr:col>
      <xdr:colOff>312964</xdr:colOff>
      <xdr:row>26</xdr:row>
      <xdr:rowOff>102053</xdr:rowOff>
    </xdr:from>
    <xdr:to>
      <xdr:col>22</xdr:col>
      <xdr:colOff>306161</xdr:colOff>
      <xdr:row>40</xdr:row>
      <xdr:rowOff>166485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58A29040-8B54-E201-5227-478C1C419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8054" y="4878160"/>
          <a:ext cx="4517571" cy="2636182"/>
        </a:xfrm>
        <a:prstGeom prst="rect">
          <a:avLst/>
        </a:prstGeom>
      </xdr:spPr>
    </xdr:pic>
    <xdr:clientData/>
  </xdr:twoCellAnchor>
  <xdr:twoCellAnchor editAs="oneCell">
    <xdr:from>
      <xdr:col>0</xdr:col>
      <xdr:colOff>135787</xdr:colOff>
      <xdr:row>26</xdr:row>
      <xdr:rowOff>153171</xdr:rowOff>
    </xdr:from>
    <xdr:to>
      <xdr:col>7</xdr:col>
      <xdr:colOff>462641</xdr:colOff>
      <xdr:row>41</xdr:row>
      <xdr:rowOff>33111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54100E8-2B26-418F-D6D8-0E3C2E2F9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787" y="4929278"/>
          <a:ext cx="4851230" cy="2635387"/>
        </a:xfrm>
        <a:prstGeom prst="rect">
          <a:avLst/>
        </a:prstGeom>
      </xdr:spPr>
    </xdr:pic>
    <xdr:clientData/>
  </xdr:twoCellAnchor>
  <xdr:twoCellAnchor editAs="oneCell">
    <xdr:from>
      <xdr:col>8</xdr:col>
      <xdr:colOff>40823</xdr:colOff>
      <xdr:row>26</xdr:row>
      <xdr:rowOff>122427</xdr:rowOff>
    </xdr:from>
    <xdr:to>
      <xdr:col>15</xdr:col>
      <xdr:colOff>156482</xdr:colOff>
      <xdr:row>41</xdr:row>
      <xdr:rowOff>1045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9B78F31-0AAD-15D2-CF0A-80F714CA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11537" y="4898534"/>
          <a:ext cx="4640035" cy="2634065"/>
        </a:xfrm>
        <a:prstGeom prst="rect">
          <a:avLst/>
        </a:prstGeom>
      </xdr:spPr>
    </xdr:pic>
    <xdr:clientData/>
  </xdr:twoCellAnchor>
  <xdr:twoCellAnchor>
    <xdr:from>
      <xdr:col>0</xdr:col>
      <xdr:colOff>92700</xdr:colOff>
      <xdr:row>0</xdr:row>
      <xdr:rowOff>152229</xdr:rowOff>
    </xdr:from>
    <xdr:to>
      <xdr:col>29</xdr:col>
      <xdr:colOff>204106</xdr:colOff>
      <xdr:row>4</xdr:row>
      <xdr:rowOff>146276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1262282-12D4-89BD-D39E-8A8DBA915975}"/>
            </a:ext>
          </a:extLst>
        </xdr:cNvPr>
        <xdr:cNvSpPr/>
      </xdr:nvSpPr>
      <xdr:spPr>
        <a:xfrm>
          <a:off x="92700" y="152229"/>
          <a:ext cx="18855246" cy="728833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000" b="1"/>
            <a:t>CAPITAL</a:t>
          </a:r>
          <a:r>
            <a:rPr lang="en-IN" sz="3000" b="1" baseline="0"/>
            <a:t> STRUCTURE AND FIRM PERFORMANCE - AUTOMOBILE INDUSTRY VS IT INDUSTRY</a:t>
          </a:r>
          <a:endParaRPr lang="en-IN" sz="3000" b="1"/>
        </a:p>
      </xdr:txBody>
    </xdr:sp>
    <xdr:clientData/>
  </xdr:twoCellAnchor>
  <xdr:twoCellAnchor editAs="oneCell">
    <xdr:from>
      <xdr:col>22</xdr:col>
      <xdr:colOff>394607</xdr:colOff>
      <xdr:row>7</xdr:row>
      <xdr:rowOff>142273</xdr:rowOff>
    </xdr:from>
    <xdr:to>
      <xdr:col>29</xdr:col>
      <xdr:colOff>129265</xdr:colOff>
      <xdr:row>22</xdr:row>
      <xdr:rowOff>145993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2B972FF-BE80-A560-16A3-F3998ADB6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614071" y="1428149"/>
          <a:ext cx="4259034" cy="2759165"/>
        </a:xfrm>
        <a:prstGeom prst="rect">
          <a:avLst/>
        </a:prstGeom>
      </xdr:spPr>
    </xdr:pic>
    <xdr:clientData/>
  </xdr:twoCellAnchor>
  <xdr:twoCellAnchor>
    <xdr:from>
      <xdr:col>0</xdr:col>
      <xdr:colOff>81643</xdr:colOff>
      <xdr:row>5</xdr:row>
      <xdr:rowOff>54427</xdr:rowOff>
    </xdr:from>
    <xdr:to>
      <xdr:col>5</xdr:col>
      <xdr:colOff>632732</xdr:colOff>
      <xdr:row>7</xdr:row>
      <xdr:rowOff>155034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7764C87-8025-5B28-0A27-C5D5FB178AB9}"/>
            </a:ext>
          </a:extLst>
        </xdr:cNvPr>
        <xdr:cNvSpPr/>
      </xdr:nvSpPr>
      <xdr:spPr>
        <a:xfrm>
          <a:off x="81643" y="972910"/>
          <a:ext cx="3782786" cy="46800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2400"/>
            <a:t>AUTOMOBILE INDUSTRY</a:t>
          </a:r>
        </a:p>
      </xdr:txBody>
    </xdr:sp>
    <xdr:clientData/>
  </xdr:twoCellAnchor>
  <xdr:twoCellAnchor>
    <xdr:from>
      <xdr:col>0</xdr:col>
      <xdr:colOff>88445</xdr:colOff>
      <xdr:row>23</xdr:row>
      <xdr:rowOff>115659</xdr:rowOff>
    </xdr:from>
    <xdr:to>
      <xdr:col>4</xdr:col>
      <xdr:colOff>190499</xdr:colOff>
      <xdr:row>26</xdr:row>
      <xdr:rowOff>32571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E821DBF-936A-4B13-B13D-016AB81EEBD0}"/>
            </a:ext>
          </a:extLst>
        </xdr:cNvPr>
        <xdr:cNvSpPr/>
      </xdr:nvSpPr>
      <xdr:spPr>
        <a:xfrm>
          <a:off x="88445" y="4340678"/>
          <a:ext cx="2687411" cy="468000"/>
        </a:xfrm>
        <a:prstGeom prst="rect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/>
            <a:t>IT INDUSTRY</a:t>
          </a:r>
        </a:p>
      </xdr:txBody>
    </xdr:sp>
    <xdr:clientData/>
  </xdr:twoCellAnchor>
  <xdr:twoCellAnchor editAs="oneCell">
    <xdr:from>
      <xdr:col>7</xdr:col>
      <xdr:colOff>586184</xdr:colOff>
      <xdr:row>8</xdr:row>
      <xdr:rowOff>30235</xdr:rowOff>
    </xdr:from>
    <xdr:to>
      <xdr:col>15</xdr:col>
      <xdr:colOff>108856</xdr:colOff>
      <xdr:row>22</xdr:row>
      <xdr:rowOff>155912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63C0441F-AD38-AF54-A5D1-1683EEA35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110560" y="1499806"/>
          <a:ext cx="4693386" cy="2697427"/>
        </a:xfrm>
        <a:prstGeom prst="rect">
          <a:avLst/>
        </a:prstGeom>
      </xdr:spPr>
    </xdr:pic>
    <xdr:clientData/>
  </xdr:twoCellAnchor>
  <xdr:twoCellAnchor editAs="oneCell">
    <xdr:from>
      <xdr:col>15</xdr:col>
      <xdr:colOff>303019</xdr:colOff>
      <xdr:row>8</xdr:row>
      <xdr:rowOff>2810</xdr:rowOff>
    </xdr:from>
    <xdr:to>
      <xdr:col>22</xdr:col>
      <xdr:colOff>149676</xdr:colOff>
      <xdr:row>22</xdr:row>
      <xdr:rowOff>153607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E255D42-FFAD-EAD3-5157-708E55223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998109" y="1472381"/>
          <a:ext cx="4371031" cy="2722547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8</xdr:row>
      <xdr:rowOff>54429</xdr:rowOff>
    </xdr:from>
    <xdr:to>
      <xdr:col>7</xdr:col>
      <xdr:colOff>421820</xdr:colOff>
      <xdr:row>22</xdr:row>
      <xdr:rowOff>156482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203E3B1-E130-AE4E-82E8-5B7DC6FB5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524000"/>
          <a:ext cx="4810124" cy="26738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4734D-07D3-4DBC-B2DF-0BED49F46891}">
  <dimension ref="B3:V66"/>
  <sheetViews>
    <sheetView tabSelected="1" zoomScale="75" workbookViewId="0">
      <selection activeCell="F29" sqref="F29"/>
    </sheetView>
  </sheetViews>
  <sheetFormatPr defaultColWidth="8.796875" defaultRowHeight="14.25" x14ac:dyDescent="0.45"/>
  <cols>
    <col min="2" max="2" width="21.796875" bestFit="1" customWidth="1"/>
    <col min="3" max="3" width="9.796875" bestFit="1" customWidth="1"/>
    <col min="4" max="4" width="18.796875" bestFit="1" customWidth="1"/>
    <col min="5" max="8" width="11.796875" bestFit="1" customWidth="1"/>
    <col min="9" max="9" width="9.796875" bestFit="1" customWidth="1"/>
    <col min="10" max="10" width="21.796875" bestFit="1" customWidth="1"/>
    <col min="11" max="11" width="9.796875" bestFit="1" customWidth="1"/>
    <col min="12" max="12" width="14.1328125" bestFit="1" customWidth="1"/>
    <col min="13" max="13" width="11.6640625" bestFit="1" customWidth="1"/>
    <col min="14" max="15" width="9.796875" bestFit="1" customWidth="1"/>
    <col min="16" max="16" width="21.796875" bestFit="1" customWidth="1"/>
    <col min="17" max="20" width="9.796875" bestFit="1" customWidth="1"/>
    <col min="21" max="21" width="14.1328125" bestFit="1" customWidth="1"/>
    <col min="22" max="28" width="9.796875" bestFit="1" customWidth="1"/>
    <col min="29" max="29" width="7.46484375" bestFit="1" customWidth="1"/>
  </cols>
  <sheetData>
    <row r="3" spans="2:22" x14ac:dyDescent="0.45">
      <c r="D3" t="s">
        <v>24</v>
      </c>
    </row>
    <row r="4" spans="2:22" x14ac:dyDescent="0.45">
      <c r="L4" t="s">
        <v>87</v>
      </c>
    </row>
    <row r="5" spans="2:22" x14ac:dyDescent="0.45">
      <c r="B5" s="7" t="s">
        <v>0</v>
      </c>
      <c r="C5" s="8">
        <v>44256</v>
      </c>
      <c r="D5" s="8">
        <v>44621</v>
      </c>
      <c r="E5" s="8">
        <v>44986</v>
      </c>
      <c r="F5" s="8">
        <v>45352</v>
      </c>
      <c r="G5" s="8">
        <v>45717</v>
      </c>
      <c r="J5" s="54"/>
      <c r="K5" s="55">
        <v>44256</v>
      </c>
      <c r="L5" s="55">
        <v>44621</v>
      </c>
      <c r="M5" s="55">
        <v>44986</v>
      </c>
      <c r="N5" s="55">
        <v>45352</v>
      </c>
      <c r="O5" s="55">
        <v>45717</v>
      </c>
      <c r="V5" s="56"/>
    </row>
    <row r="6" spans="2:22" x14ac:dyDescent="0.45">
      <c r="B6" s="9" t="s">
        <v>1</v>
      </c>
      <c r="C6" s="10">
        <v>30801</v>
      </c>
      <c r="D6" s="10">
        <v>29245</v>
      </c>
      <c r="E6" s="10">
        <v>33806</v>
      </c>
      <c r="F6" s="10">
        <v>37456</v>
      </c>
      <c r="G6" s="10">
        <v>40756</v>
      </c>
      <c r="J6" s="57" t="s">
        <v>1</v>
      </c>
      <c r="K6" s="58">
        <v>70332</v>
      </c>
      <c r="L6" s="58">
        <v>88296</v>
      </c>
      <c r="M6" s="58">
        <v>117523</v>
      </c>
      <c r="N6" s="58">
        <v>140933</v>
      </c>
      <c r="O6" s="58">
        <v>151900</v>
      </c>
      <c r="V6" s="59"/>
    </row>
    <row r="7" spans="2:22" x14ac:dyDescent="0.45">
      <c r="B7" s="9" t="s">
        <v>2</v>
      </c>
      <c r="C7" s="11">
        <v>6.8099999999999994E-2</v>
      </c>
      <c r="D7" s="11">
        <v>-5.0500000000000003E-2</v>
      </c>
      <c r="E7" s="11">
        <v>0.15590000000000001</v>
      </c>
      <c r="F7" s="11">
        <v>0.108</v>
      </c>
      <c r="G7" s="11">
        <v>8.8099999999999998E-2</v>
      </c>
      <c r="J7" s="57" t="s">
        <v>2</v>
      </c>
      <c r="K7" s="60">
        <v>-6.9800000000000001E-2</v>
      </c>
      <c r="L7" s="60">
        <v>0.25540000000000002</v>
      </c>
      <c r="M7" s="60">
        <v>0.33100000000000002</v>
      </c>
      <c r="N7" s="60">
        <v>0.19919999999999999</v>
      </c>
      <c r="O7" s="60">
        <v>7.7799999999999994E-2</v>
      </c>
      <c r="V7" s="61"/>
    </row>
    <row r="8" spans="2:22" x14ac:dyDescent="0.45">
      <c r="B8" s="9" t="s">
        <v>3</v>
      </c>
      <c r="C8" s="10">
        <v>26777</v>
      </c>
      <c r="D8" s="10">
        <v>25866</v>
      </c>
      <c r="E8" s="10">
        <v>29815</v>
      </c>
      <c r="F8" s="10">
        <v>32194</v>
      </c>
      <c r="G8" s="10">
        <v>34885</v>
      </c>
      <c r="J8" s="57" t="s">
        <v>3</v>
      </c>
      <c r="K8" s="58">
        <v>64928</v>
      </c>
      <c r="L8" s="58">
        <v>82549</v>
      </c>
      <c r="M8" s="58">
        <v>106504</v>
      </c>
      <c r="N8" s="58">
        <v>124483</v>
      </c>
      <c r="O8" s="58">
        <v>134074</v>
      </c>
      <c r="V8" s="59"/>
    </row>
    <row r="9" spans="2:22" x14ac:dyDescent="0.45">
      <c r="B9" s="9" t="s">
        <v>4</v>
      </c>
      <c r="C9" s="12">
        <v>0.71</v>
      </c>
      <c r="D9" s="12">
        <v>0.71</v>
      </c>
      <c r="E9" s="12">
        <v>0.71</v>
      </c>
      <c r="F9" s="12">
        <v>0.68</v>
      </c>
      <c r="G9" s="12">
        <v>0.66</v>
      </c>
      <c r="J9" s="57" t="s">
        <v>88</v>
      </c>
      <c r="K9" s="62">
        <v>0.72</v>
      </c>
      <c r="L9" s="62">
        <v>0.75</v>
      </c>
      <c r="M9" s="62">
        <v>0.73</v>
      </c>
      <c r="N9" s="62">
        <v>0.71</v>
      </c>
      <c r="O9" s="62">
        <v>0.71</v>
      </c>
      <c r="V9" s="61"/>
    </row>
    <row r="10" spans="2:22" x14ac:dyDescent="0.45">
      <c r="B10" s="9" t="s">
        <v>5</v>
      </c>
      <c r="C10" s="12">
        <v>0.01</v>
      </c>
      <c r="D10" s="12">
        <v>0.01</v>
      </c>
      <c r="E10" s="12">
        <v>0.01</v>
      </c>
      <c r="F10" s="12">
        <v>0.01</v>
      </c>
      <c r="G10" s="12">
        <v>0.01</v>
      </c>
      <c r="J10" s="57" t="s">
        <v>89</v>
      </c>
      <c r="K10" s="58">
        <v>50544</v>
      </c>
      <c r="L10" s="58">
        <v>66129</v>
      </c>
      <c r="M10" s="58">
        <v>86647</v>
      </c>
      <c r="N10" s="58">
        <v>101050</v>
      </c>
      <c r="O10" s="58">
        <v>109361</v>
      </c>
      <c r="V10" s="61"/>
    </row>
    <row r="11" spans="2:22" x14ac:dyDescent="0.45">
      <c r="B11" s="9" t="s">
        <v>6</v>
      </c>
      <c r="C11" s="12">
        <v>0.06</v>
      </c>
      <c r="D11" s="12">
        <v>7.0000000000000007E-2</v>
      </c>
      <c r="E11" s="12">
        <v>0.06</v>
      </c>
      <c r="F11" s="12">
        <v>7.0000000000000007E-2</v>
      </c>
      <c r="G11" s="12">
        <v>0.06</v>
      </c>
      <c r="J11" s="57" t="s">
        <v>90</v>
      </c>
      <c r="K11" s="63">
        <v>273</v>
      </c>
      <c r="L11" s="63">
        <v>-92</v>
      </c>
      <c r="M11" s="63">
        <v>-404</v>
      </c>
      <c r="N11" s="63">
        <v>-443</v>
      </c>
      <c r="O11" s="63">
        <v>-890</v>
      </c>
      <c r="V11" s="61"/>
    </row>
    <row r="12" spans="2:22" x14ac:dyDescent="0.45">
      <c r="B12" s="9" t="s">
        <v>7</v>
      </c>
      <c r="C12" s="12">
        <v>0.09</v>
      </c>
      <c r="D12" s="12">
        <v>0.09</v>
      </c>
      <c r="E12" s="12">
        <v>0.1</v>
      </c>
      <c r="F12" s="12">
        <v>0.1</v>
      </c>
      <c r="G12" s="12">
        <v>0.12</v>
      </c>
      <c r="J12" s="57" t="s">
        <v>5</v>
      </c>
      <c r="K12" s="62">
        <v>0.02</v>
      </c>
      <c r="L12" s="62">
        <v>0.02</v>
      </c>
      <c r="M12" s="62">
        <v>0.02</v>
      </c>
      <c r="N12" s="62">
        <v>0.01</v>
      </c>
      <c r="O12" s="62">
        <v>0.01</v>
      </c>
      <c r="V12" s="61"/>
    </row>
    <row r="13" spans="2:22" x14ac:dyDescent="0.45">
      <c r="B13" s="13" t="s">
        <v>8</v>
      </c>
      <c r="C13" s="14">
        <v>4024</v>
      </c>
      <c r="D13" s="14">
        <v>3379</v>
      </c>
      <c r="E13" s="14">
        <v>3991</v>
      </c>
      <c r="F13" s="14">
        <v>5261</v>
      </c>
      <c r="G13" s="14">
        <v>5872</v>
      </c>
      <c r="J13" s="57" t="s">
        <v>6</v>
      </c>
      <c r="K13" s="62">
        <v>0.05</v>
      </c>
      <c r="L13" s="62">
        <v>0.05</v>
      </c>
      <c r="M13" s="62">
        <v>0.04</v>
      </c>
      <c r="N13" s="62">
        <v>0.04</v>
      </c>
      <c r="O13" s="62">
        <v>0.04</v>
      </c>
      <c r="V13" s="61"/>
    </row>
    <row r="14" spans="2:22" x14ac:dyDescent="0.45">
      <c r="B14" s="9" t="s">
        <v>9</v>
      </c>
      <c r="C14" s="12">
        <v>0.13</v>
      </c>
      <c r="D14" s="12">
        <v>0.12</v>
      </c>
      <c r="E14" s="12">
        <v>0.12</v>
      </c>
      <c r="F14" s="12">
        <v>0.14000000000000001</v>
      </c>
      <c r="G14" s="12">
        <v>0.14000000000000001</v>
      </c>
      <c r="J14" s="57" t="s">
        <v>7</v>
      </c>
      <c r="K14" s="62">
        <v>0.14000000000000001</v>
      </c>
      <c r="L14" s="62">
        <v>0.12</v>
      </c>
      <c r="M14" s="62">
        <v>0.12</v>
      </c>
      <c r="N14" s="62">
        <v>0.12</v>
      </c>
      <c r="O14" s="62">
        <v>0.11</v>
      </c>
      <c r="V14" s="61"/>
    </row>
    <row r="15" spans="2:22" x14ac:dyDescent="0.45">
      <c r="B15" s="9" t="s">
        <v>10</v>
      </c>
      <c r="C15" s="9">
        <v>575</v>
      </c>
      <c r="D15" s="9">
        <v>547</v>
      </c>
      <c r="E15" s="9">
        <v>560</v>
      </c>
      <c r="F15" s="9">
        <v>727</v>
      </c>
      <c r="G15" s="10">
        <v>1052</v>
      </c>
      <c r="J15" s="57" t="s">
        <v>8</v>
      </c>
      <c r="K15" s="58">
        <v>5404</v>
      </c>
      <c r="L15" s="58">
        <v>5747</v>
      </c>
      <c r="M15" s="58">
        <v>11019</v>
      </c>
      <c r="N15" s="58">
        <v>16449</v>
      </c>
      <c r="O15" s="58">
        <v>17826</v>
      </c>
      <c r="V15" s="59"/>
    </row>
    <row r="16" spans="2:22" x14ac:dyDescent="0.45">
      <c r="B16" s="9" t="s">
        <v>11</v>
      </c>
      <c r="C16" s="9">
        <v>163</v>
      </c>
      <c r="D16" s="9">
        <v>92</v>
      </c>
      <c r="E16" s="9">
        <v>113</v>
      </c>
      <c r="F16" s="9">
        <v>-39</v>
      </c>
      <c r="G16" s="9">
        <v>156</v>
      </c>
      <c r="J16" s="57" t="s">
        <v>9</v>
      </c>
      <c r="K16" s="62">
        <v>0.08</v>
      </c>
      <c r="L16" s="62">
        <v>7.0000000000000007E-2</v>
      </c>
      <c r="M16" s="62">
        <v>0.09</v>
      </c>
      <c r="N16" s="62">
        <v>0.12</v>
      </c>
      <c r="O16" s="62">
        <v>0.12</v>
      </c>
      <c r="V16" s="64"/>
    </row>
    <row r="17" spans="2:22" x14ac:dyDescent="0.45">
      <c r="B17" s="9" t="s">
        <v>12</v>
      </c>
      <c r="C17" s="9">
        <v>412</v>
      </c>
      <c r="D17" s="9">
        <v>455</v>
      </c>
      <c r="E17" s="9">
        <v>448</v>
      </c>
      <c r="F17" s="9">
        <v>766</v>
      </c>
      <c r="G17" s="9">
        <v>896</v>
      </c>
      <c r="J17" s="57" t="s">
        <v>10</v>
      </c>
      <c r="K17" s="58">
        <v>2887</v>
      </c>
      <c r="L17" s="58">
        <v>1748</v>
      </c>
      <c r="M17" s="58">
        <v>2150</v>
      </c>
      <c r="N17" s="58">
        <v>3807</v>
      </c>
      <c r="O17" s="58">
        <v>4710</v>
      </c>
      <c r="V17" s="59"/>
    </row>
    <row r="18" spans="2:22" x14ac:dyDescent="0.45">
      <c r="B18" s="9" t="s">
        <v>13</v>
      </c>
      <c r="C18" s="9">
        <v>22</v>
      </c>
      <c r="D18" s="9">
        <v>26</v>
      </c>
      <c r="E18" s="9">
        <v>20</v>
      </c>
      <c r="F18" s="9">
        <v>18</v>
      </c>
      <c r="G18" s="9">
        <v>20</v>
      </c>
      <c r="J18" s="57" t="s">
        <v>11</v>
      </c>
      <c r="K18" s="63">
        <v>-59</v>
      </c>
      <c r="L18" s="58">
        <v>1521</v>
      </c>
      <c r="M18" s="58">
        <v>1897</v>
      </c>
      <c r="N18" s="63">
        <v>42</v>
      </c>
      <c r="O18" s="63">
        <v>66</v>
      </c>
      <c r="V18" s="61"/>
    </row>
    <row r="19" spans="2:22" x14ac:dyDescent="0.45">
      <c r="B19" s="9" t="s">
        <v>14</v>
      </c>
      <c r="C19" s="9">
        <v>677</v>
      </c>
      <c r="D19" s="9">
        <v>650</v>
      </c>
      <c r="E19" s="9">
        <v>657</v>
      </c>
      <c r="F19" s="9">
        <v>711</v>
      </c>
      <c r="G19" s="9">
        <v>776</v>
      </c>
      <c r="J19" s="57" t="s">
        <v>12</v>
      </c>
      <c r="K19" s="58">
        <v>2946</v>
      </c>
      <c r="L19" s="63">
        <v>226</v>
      </c>
      <c r="M19" s="63">
        <v>252</v>
      </c>
      <c r="N19" s="58">
        <v>3765</v>
      </c>
      <c r="O19" s="58">
        <v>4644</v>
      </c>
      <c r="V19" s="61"/>
    </row>
    <row r="20" spans="2:22" x14ac:dyDescent="0.45">
      <c r="B20" s="13" t="s">
        <v>15</v>
      </c>
      <c r="C20" s="14">
        <v>3900</v>
      </c>
      <c r="D20" s="14">
        <v>3250</v>
      </c>
      <c r="E20" s="14">
        <v>3875</v>
      </c>
      <c r="F20" s="14">
        <v>5258</v>
      </c>
      <c r="G20" s="14">
        <v>6128</v>
      </c>
      <c r="J20" s="57" t="s">
        <v>13</v>
      </c>
      <c r="K20" s="63">
        <v>101</v>
      </c>
      <c r="L20" s="63">
        <v>126</v>
      </c>
      <c r="M20" s="63">
        <v>187</v>
      </c>
      <c r="N20" s="63">
        <v>193</v>
      </c>
      <c r="O20" s="63">
        <v>193</v>
      </c>
      <c r="V20" s="61"/>
    </row>
    <row r="21" spans="2:22" x14ac:dyDescent="0.45">
      <c r="B21" s="9" t="s">
        <v>16</v>
      </c>
      <c r="C21" s="12">
        <v>0.24</v>
      </c>
      <c r="D21" s="12">
        <v>0.24</v>
      </c>
      <c r="E21" s="12">
        <v>0.25</v>
      </c>
      <c r="F21" s="12">
        <v>0.25</v>
      </c>
      <c r="G21" s="12">
        <v>0.25</v>
      </c>
      <c r="J21" s="57" t="s">
        <v>14</v>
      </c>
      <c r="K21" s="58">
        <v>3032</v>
      </c>
      <c r="L21" s="58">
        <v>2786</v>
      </c>
      <c r="M21" s="58">
        <v>2823</v>
      </c>
      <c r="N21" s="58">
        <v>3022</v>
      </c>
      <c r="O21" s="58">
        <v>3159</v>
      </c>
      <c r="V21" s="59"/>
    </row>
    <row r="22" spans="2:22" x14ac:dyDescent="0.45">
      <c r="B22" s="13" t="s">
        <v>17</v>
      </c>
      <c r="C22" s="14">
        <v>2964</v>
      </c>
      <c r="D22" s="14">
        <v>2473</v>
      </c>
      <c r="E22" s="14">
        <v>2911</v>
      </c>
      <c r="F22" s="14">
        <v>3968</v>
      </c>
      <c r="G22" s="14">
        <v>4610</v>
      </c>
      <c r="J22" s="57" t="s">
        <v>15</v>
      </c>
      <c r="K22" s="58">
        <v>5159</v>
      </c>
      <c r="L22" s="58">
        <v>4582</v>
      </c>
      <c r="M22" s="58">
        <v>10159</v>
      </c>
      <c r="N22" s="58">
        <v>17040</v>
      </c>
      <c r="O22" s="58">
        <v>19183</v>
      </c>
      <c r="V22" s="59"/>
    </row>
    <row r="23" spans="2:22" x14ac:dyDescent="0.45">
      <c r="B23" s="9" t="s">
        <v>18</v>
      </c>
      <c r="C23" s="9">
        <v>124</v>
      </c>
      <c r="D23" s="9">
        <v>69</v>
      </c>
      <c r="E23" s="9">
        <v>85</v>
      </c>
      <c r="F23" s="9">
        <v>-29</v>
      </c>
      <c r="G23" s="9">
        <v>117</v>
      </c>
      <c r="J23" s="57" t="s">
        <v>16</v>
      </c>
      <c r="K23" s="62">
        <v>0.18</v>
      </c>
      <c r="L23" s="62">
        <v>0.18</v>
      </c>
      <c r="M23" s="62">
        <v>0.21</v>
      </c>
      <c r="N23" s="62">
        <v>0.22</v>
      </c>
      <c r="O23" s="62">
        <v>0.27</v>
      </c>
      <c r="V23" s="61"/>
    </row>
    <row r="24" spans="2:22" x14ac:dyDescent="0.45">
      <c r="B24" s="9" t="s">
        <v>19</v>
      </c>
      <c r="C24" s="10">
        <v>2840</v>
      </c>
      <c r="D24" s="10">
        <v>2404</v>
      </c>
      <c r="E24" s="10">
        <v>2826</v>
      </c>
      <c r="F24" s="10">
        <v>3997</v>
      </c>
      <c r="G24" s="10">
        <v>4493</v>
      </c>
      <c r="J24" s="57" t="s">
        <v>91</v>
      </c>
      <c r="K24" s="58">
        <v>4230</v>
      </c>
      <c r="L24" s="58">
        <v>3766</v>
      </c>
      <c r="M24" s="58">
        <v>8049</v>
      </c>
      <c r="N24" s="58">
        <v>13209</v>
      </c>
      <c r="O24" s="58">
        <v>13955</v>
      </c>
      <c r="V24" s="59"/>
    </row>
    <row r="25" spans="2:22" x14ac:dyDescent="0.45">
      <c r="B25" s="9" t="s">
        <v>20</v>
      </c>
      <c r="C25" s="10">
        <v>2840</v>
      </c>
      <c r="D25" s="10">
        <v>2404</v>
      </c>
      <c r="E25" s="10">
        <v>2826</v>
      </c>
      <c r="F25" s="10">
        <v>3997</v>
      </c>
      <c r="G25" s="10">
        <v>4493</v>
      </c>
      <c r="J25" s="57" t="s">
        <v>18</v>
      </c>
      <c r="K25" s="63">
        <v>-46</v>
      </c>
      <c r="L25" s="58">
        <v>1043</v>
      </c>
      <c r="M25" s="58">
        <v>1461</v>
      </c>
      <c r="N25" s="63">
        <v>33</v>
      </c>
      <c r="O25" s="63">
        <v>50</v>
      </c>
      <c r="V25" s="61"/>
    </row>
    <row r="26" spans="2:22" x14ac:dyDescent="0.45">
      <c r="B26" s="9" t="s">
        <v>21</v>
      </c>
      <c r="C26" s="10">
        <v>2964</v>
      </c>
      <c r="D26" s="10">
        <v>2473</v>
      </c>
      <c r="E26" s="10">
        <v>2911</v>
      </c>
      <c r="F26" s="10">
        <v>3968</v>
      </c>
      <c r="G26" s="10">
        <v>4610</v>
      </c>
      <c r="J26" s="57" t="s">
        <v>19</v>
      </c>
      <c r="K26" s="58">
        <v>4275</v>
      </c>
      <c r="L26" s="58">
        <v>2723</v>
      </c>
      <c r="M26" s="58">
        <v>6588</v>
      </c>
      <c r="N26" s="58">
        <v>13177</v>
      </c>
      <c r="O26" s="58">
        <v>13905</v>
      </c>
      <c r="V26" s="61"/>
    </row>
    <row r="27" spans="2:22" x14ac:dyDescent="0.45">
      <c r="B27" s="9" t="s">
        <v>22</v>
      </c>
      <c r="C27" s="9">
        <v>148.37</v>
      </c>
      <c r="D27" s="9">
        <v>123.77</v>
      </c>
      <c r="E27" s="9">
        <v>145.65</v>
      </c>
      <c r="F27" s="9">
        <v>198.48</v>
      </c>
      <c r="G27" s="9">
        <v>230.49</v>
      </c>
      <c r="J27" s="57" t="s">
        <v>20</v>
      </c>
      <c r="K27" s="58">
        <v>4275</v>
      </c>
      <c r="L27" s="58">
        <v>2723</v>
      </c>
      <c r="M27" s="58">
        <v>6588</v>
      </c>
      <c r="N27" s="58">
        <v>13177</v>
      </c>
      <c r="O27" s="58">
        <v>13905</v>
      </c>
      <c r="V27" s="61"/>
    </row>
    <row r="28" spans="2:22" x14ac:dyDescent="0.45">
      <c r="B28" s="9" t="s">
        <v>23</v>
      </c>
      <c r="C28" s="12">
        <v>0.71</v>
      </c>
      <c r="D28" s="12">
        <v>0.77</v>
      </c>
      <c r="E28" s="12">
        <v>0.69</v>
      </c>
      <c r="F28" s="12">
        <v>0.71</v>
      </c>
      <c r="G28" s="12">
        <v>0.72</v>
      </c>
      <c r="J28" s="57" t="s">
        <v>21</v>
      </c>
      <c r="K28" s="58">
        <v>4230</v>
      </c>
      <c r="L28" s="58">
        <v>3766</v>
      </c>
      <c r="M28" s="58">
        <v>8049</v>
      </c>
      <c r="N28" s="58">
        <v>13209</v>
      </c>
      <c r="O28" s="58">
        <v>13955</v>
      </c>
      <c r="V28" s="61"/>
    </row>
    <row r="29" spans="2:22" x14ac:dyDescent="0.45">
      <c r="J29" s="57" t="s">
        <v>22</v>
      </c>
      <c r="K29" s="63">
        <v>140.02000000000001</v>
      </c>
      <c r="L29" s="63">
        <v>124.68</v>
      </c>
      <c r="M29" s="63">
        <v>266.45999999999998</v>
      </c>
      <c r="N29" s="63">
        <v>420.14</v>
      </c>
      <c r="O29" s="63">
        <v>443.86</v>
      </c>
      <c r="V29" s="61"/>
    </row>
    <row r="30" spans="2:22" x14ac:dyDescent="0.45">
      <c r="J30" s="57" t="s">
        <v>23</v>
      </c>
      <c r="K30" s="62">
        <v>0.32</v>
      </c>
      <c r="L30" s="62">
        <v>0.48</v>
      </c>
      <c r="M30" s="62">
        <v>0.34</v>
      </c>
      <c r="N30" s="62">
        <v>0.3</v>
      </c>
      <c r="O30" s="62">
        <v>0.3</v>
      </c>
      <c r="V30" s="65"/>
    </row>
    <row r="36" spans="2:22" x14ac:dyDescent="0.45">
      <c r="D36" t="s">
        <v>111</v>
      </c>
      <c r="M36" t="s">
        <v>98</v>
      </c>
    </row>
    <row r="38" spans="2:22" ht="17.25" x14ac:dyDescent="0.45">
      <c r="B38" s="41"/>
      <c r="C38" s="42">
        <v>44256</v>
      </c>
      <c r="D38" s="42">
        <v>44621</v>
      </c>
      <c r="E38" s="42">
        <v>44986</v>
      </c>
      <c r="F38" s="42">
        <v>45352</v>
      </c>
      <c r="G38" s="42">
        <v>45717</v>
      </c>
      <c r="H38" s="33"/>
      <c r="I38" s="33"/>
      <c r="J38" s="72"/>
      <c r="K38" s="73">
        <v>44256</v>
      </c>
      <c r="L38" s="73">
        <v>44621</v>
      </c>
      <c r="M38" s="73">
        <v>44986</v>
      </c>
      <c r="N38" s="73">
        <v>45352</v>
      </c>
      <c r="O38" s="73">
        <v>45717</v>
      </c>
      <c r="V38" s="66"/>
    </row>
    <row r="39" spans="2:22" x14ac:dyDescent="0.45">
      <c r="B39" s="43" t="s">
        <v>106</v>
      </c>
      <c r="C39" s="44">
        <v>74278</v>
      </c>
      <c r="D39" s="44">
        <v>90171</v>
      </c>
      <c r="E39" s="44">
        <v>121269</v>
      </c>
      <c r="F39" s="44">
        <v>139078</v>
      </c>
      <c r="G39" s="44">
        <v>159211</v>
      </c>
      <c r="H39" s="34"/>
      <c r="I39" s="34"/>
      <c r="J39" s="52" t="s">
        <v>95</v>
      </c>
      <c r="K39" s="74">
        <v>19421</v>
      </c>
      <c r="L39" s="74">
        <v>24355</v>
      </c>
      <c r="M39" s="74">
        <v>31974</v>
      </c>
      <c r="N39" s="74">
        <v>38779</v>
      </c>
      <c r="O39" s="74">
        <v>44089</v>
      </c>
      <c r="V39" s="67"/>
    </row>
    <row r="40" spans="2:22" x14ac:dyDescent="0.45">
      <c r="B40" s="45" t="s">
        <v>2</v>
      </c>
      <c r="C40" s="46">
        <v>-1.46E-2</v>
      </c>
      <c r="D40" s="46">
        <v>0.214</v>
      </c>
      <c r="E40" s="46">
        <v>0.34489999999999998</v>
      </c>
      <c r="F40" s="46">
        <v>0.1469</v>
      </c>
      <c r="G40" s="46">
        <v>0.14480000000000001</v>
      </c>
      <c r="H40" s="35"/>
      <c r="I40" s="35"/>
      <c r="J40" s="52" t="s">
        <v>3</v>
      </c>
      <c r="K40" s="74">
        <v>17189</v>
      </c>
      <c r="L40" s="74">
        <v>21601</v>
      </c>
      <c r="M40" s="74">
        <v>27947</v>
      </c>
      <c r="N40" s="74">
        <v>33344</v>
      </c>
      <c r="O40" s="74">
        <v>37514</v>
      </c>
      <c r="V40" s="67"/>
    </row>
    <row r="41" spans="2:22" x14ac:dyDescent="0.45">
      <c r="B41" s="43" t="s">
        <v>107</v>
      </c>
      <c r="C41" s="44">
        <v>62791</v>
      </c>
      <c r="D41" s="44">
        <v>75488</v>
      </c>
      <c r="E41" s="44">
        <v>100983</v>
      </c>
      <c r="F41" s="44">
        <v>114186</v>
      </c>
      <c r="G41" s="44">
        <v>128693</v>
      </c>
      <c r="H41" s="34"/>
      <c r="I41" s="34"/>
      <c r="J41" s="75" t="s">
        <v>88</v>
      </c>
      <c r="K41" s="76">
        <v>0.67</v>
      </c>
      <c r="L41" s="76">
        <v>0.67</v>
      </c>
      <c r="M41" s="76">
        <v>0.65</v>
      </c>
      <c r="N41" s="76">
        <v>0.63</v>
      </c>
      <c r="O41" s="76">
        <v>0.61</v>
      </c>
      <c r="V41" s="68"/>
    </row>
    <row r="42" spans="2:22" x14ac:dyDescent="0.45">
      <c r="B42" s="47" t="s">
        <v>108</v>
      </c>
      <c r="C42" s="48">
        <v>0.52</v>
      </c>
      <c r="D42" s="48">
        <v>0.56999999999999995</v>
      </c>
      <c r="E42" s="48">
        <v>0.61</v>
      </c>
      <c r="F42" s="48">
        <v>0.6</v>
      </c>
      <c r="G42" s="48">
        <v>0.6</v>
      </c>
      <c r="H42" s="36"/>
      <c r="I42" s="36"/>
      <c r="J42" s="77" t="s">
        <v>89</v>
      </c>
      <c r="K42" s="78">
        <v>12926</v>
      </c>
      <c r="L42" s="78">
        <v>16518</v>
      </c>
      <c r="M42" s="78">
        <v>20987</v>
      </c>
      <c r="N42" s="78">
        <v>24594</v>
      </c>
      <c r="O42" s="78">
        <v>26803</v>
      </c>
      <c r="V42" s="69"/>
    </row>
    <row r="43" spans="2:22" x14ac:dyDescent="0.45">
      <c r="B43" s="45" t="s">
        <v>89</v>
      </c>
      <c r="C43" s="49">
        <v>38271</v>
      </c>
      <c r="D43" s="49">
        <v>52665</v>
      </c>
      <c r="E43" s="49">
        <v>76020</v>
      </c>
      <c r="F43" s="49">
        <v>85070</v>
      </c>
      <c r="G43" s="49">
        <v>95755</v>
      </c>
      <c r="H43" s="38"/>
      <c r="I43" s="38"/>
      <c r="J43" s="77" t="s">
        <v>90</v>
      </c>
      <c r="K43" s="78">
        <v>0</v>
      </c>
      <c r="L43" s="78">
        <v>-260</v>
      </c>
      <c r="M43" s="78">
        <v>-141</v>
      </c>
      <c r="N43" s="78">
        <v>-323</v>
      </c>
      <c r="O43" s="78">
        <v>-79</v>
      </c>
      <c r="V43" s="69"/>
    </row>
    <row r="44" spans="2:22" x14ac:dyDescent="0.45">
      <c r="B44" s="45" t="s">
        <v>90</v>
      </c>
      <c r="C44" s="50">
        <v>136</v>
      </c>
      <c r="D44" s="50">
        <v>-862</v>
      </c>
      <c r="E44" s="49">
        <v>-2032</v>
      </c>
      <c r="F44" s="49">
        <v>-1455</v>
      </c>
      <c r="G44" s="50">
        <v>-12</v>
      </c>
      <c r="H44" s="38"/>
      <c r="I44" s="39"/>
      <c r="J44" s="77" t="s">
        <v>5</v>
      </c>
      <c r="K44" s="78">
        <v>0.01</v>
      </c>
      <c r="L44" s="78">
        <v>0.01</v>
      </c>
      <c r="M44" s="78">
        <v>0.01</v>
      </c>
      <c r="N44" s="78">
        <v>0.01</v>
      </c>
      <c r="O44" s="78">
        <v>0.01</v>
      </c>
      <c r="V44" s="69"/>
    </row>
    <row r="45" spans="2:22" x14ac:dyDescent="0.45">
      <c r="B45" s="45" t="s">
        <v>5</v>
      </c>
      <c r="C45" s="51">
        <v>0.04</v>
      </c>
      <c r="D45" s="51">
        <v>0.04</v>
      </c>
      <c r="E45" s="51">
        <v>0.04</v>
      </c>
      <c r="F45" s="51">
        <v>0.03</v>
      </c>
      <c r="G45" s="51">
        <v>0.03</v>
      </c>
      <c r="H45" s="40"/>
      <c r="I45" s="40"/>
      <c r="J45" s="77" t="s">
        <v>6</v>
      </c>
      <c r="K45" s="78">
        <v>0.09</v>
      </c>
      <c r="L45" s="78">
        <v>0.09</v>
      </c>
      <c r="M45" s="78">
        <v>0.09</v>
      </c>
      <c r="N45" s="78">
        <v>0.08</v>
      </c>
      <c r="O45" s="78">
        <v>0.08</v>
      </c>
      <c r="V45" s="69"/>
    </row>
    <row r="46" spans="2:22" x14ac:dyDescent="0.45">
      <c r="B46" s="45" t="s">
        <v>6</v>
      </c>
      <c r="C46" s="51">
        <v>0.11</v>
      </c>
      <c r="D46" s="51">
        <v>0.09</v>
      </c>
      <c r="E46" s="51">
        <v>0.08</v>
      </c>
      <c r="F46" s="51">
        <v>0.08</v>
      </c>
      <c r="G46" s="51">
        <v>7.0000000000000007E-2</v>
      </c>
      <c r="H46" s="40"/>
      <c r="I46" s="40"/>
      <c r="J46" s="77" t="s">
        <v>7</v>
      </c>
      <c r="K46" s="78">
        <v>0.12</v>
      </c>
      <c r="L46" s="78">
        <v>0.12</v>
      </c>
      <c r="M46" s="78">
        <v>0.12</v>
      </c>
      <c r="N46" s="78">
        <v>0.14000000000000001</v>
      </c>
      <c r="O46" s="78">
        <v>0.15</v>
      </c>
      <c r="V46" s="69"/>
    </row>
    <row r="47" spans="2:22" x14ac:dyDescent="0.45">
      <c r="B47" s="45" t="s">
        <v>7</v>
      </c>
      <c r="C47" s="51">
        <v>0.18</v>
      </c>
      <c r="D47" s="51">
        <v>0.13</v>
      </c>
      <c r="E47" s="51">
        <v>0.1</v>
      </c>
      <c r="F47" s="51">
        <v>0.11</v>
      </c>
      <c r="G47" s="51">
        <v>0.11</v>
      </c>
      <c r="H47" s="40"/>
      <c r="I47" s="40"/>
      <c r="J47" s="52" t="s">
        <v>8</v>
      </c>
      <c r="K47" s="74">
        <v>2232</v>
      </c>
      <c r="L47" s="74">
        <v>2755</v>
      </c>
      <c r="M47" s="74">
        <v>4027</v>
      </c>
      <c r="N47" s="74">
        <v>5435</v>
      </c>
      <c r="O47" s="74">
        <v>6575</v>
      </c>
      <c r="V47" s="67"/>
    </row>
    <row r="48" spans="2:22" x14ac:dyDescent="0.45">
      <c r="B48" s="43" t="s">
        <v>8</v>
      </c>
      <c r="C48" s="44">
        <v>11487</v>
      </c>
      <c r="D48" s="44">
        <v>14683</v>
      </c>
      <c r="E48" s="44">
        <v>20285</v>
      </c>
      <c r="F48" s="44">
        <v>24892</v>
      </c>
      <c r="G48" s="44">
        <v>30518</v>
      </c>
      <c r="H48" s="34"/>
      <c r="I48" s="34"/>
      <c r="J48" s="52" t="s">
        <v>9</v>
      </c>
      <c r="K48" s="79">
        <v>0.11</v>
      </c>
      <c r="L48" s="79">
        <v>0.11</v>
      </c>
      <c r="M48" s="79">
        <v>0.13</v>
      </c>
      <c r="N48" s="79">
        <v>0.14000000000000001</v>
      </c>
      <c r="O48" s="79">
        <v>0.15</v>
      </c>
      <c r="V48" s="70"/>
    </row>
    <row r="49" spans="2:22" x14ac:dyDescent="0.45">
      <c r="B49" s="52" t="s">
        <v>9</v>
      </c>
      <c r="C49" s="51">
        <v>0.15</v>
      </c>
      <c r="D49" s="51">
        <v>0.16</v>
      </c>
      <c r="E49" s="51">
        <v>0.17</v>
      </c>
      <c r="F49" s="51">
        <v>0.18</v>
      </c>
      <c r="G49" s="51">
        <v>0.19</v>
      </c>
      <c r="H49" s="40"/>
      <c r="I49" s="40"/>
      <c r="J49" s="52" t="s">
        <v>10</v>
      </c>
      <c r="K49" s="80">
        <v>36</v>
      </c>
      <c r="L49" s="80">
        <v>-5</v>
      </c>
      <c r="M49" s="80">
        <v>136</v>
      </c>
      <c r="N49" s="80">
        <v>131</v>
      </c>
      <c r="O49" s="80">
        <v>99</v>
      </c>
      <c r="V49" s="71"/>
    </row>
    <row r="50" spans="2:22" x14ac:dyDescent="0.45">
      <c r="B50" s="43" t="s">
        <v>109</v>
      </c>
      <c r="C50" s="44">
        <v>1152</v>
      </c>
      <c r="D50" s="44">
        <v>3204</v>
      </c>
      <c r="E50" s="44">
        <v>3961</v>
      </c>
      <c r="F50" s="44">
        <v>3298</v>
      </c>
      <c r="G50" s="44">
        <v>3718</v>
      </c>
      <c r="H50" s="34"/>
      <c r="I50" s="37"/>
      <c r="J50" s="45" t="s">
        <v>11</v>
      </c>
      <c r="K50" s="80">
        <v>-11</v>
      </c>
      <c r="L50" s="80">
        <v>-37</v>
      </c>
      <c r="M50" s="80">
        <v>46</v>
      </c>
      <c r="N50" s="80">
        <v>118</v>
      </c>
      <c r="O50" s="80">
        <v>135</v>
      </c>
      <c r="V50" s="71"/>
    </row>
    <row r="51" spans="2:22" x14ac:dyDescent="0.45">
      <c r="B51" s="45" t="s">
        <v>11</v>
      </c>
      <c r="C51" s="49">
        <v>-1158</v>
      </c>
      <c r="D51" s="50">
        <v>414</v>
      </c>
      <c r="E51" s="49">
        <v>1250</v>
      </c>
      <c r="F51" s="50">
        <v>0</v>
      </c>
      <c r="G51" s="50">
        <v>0</v>
      </c>
      <c r="H51" s="39"/>
      <c r="I51" s="38"/>
      <c r="J51" s="45" t="s">
        <v>12</v>
      </c>
      <c r="K51" s="80">
        <v>47</v>
      </c>
      <c r="L51" s="80">
        <v>33</v>
      </c>
      <c r="M51" s="80">
        <v>90</v>
      </c>
      <c r="N51" s="80">
        <v>13</v>
      </c>
      <c r="O51" s="80">
        <v>-36</v>
      </c>
      <c r="V51" s="71"/>
    </row>
    <row r="52" spans="2:22" x14ac:dyDescent="0.45">
      <c r="B52" s="45" t="s">
        <v>12</v>
      </c>
      <c r="C52" s="49">
        <v>2310</v>
      </c>
      <c r="D52" s="49">
        <v>2790</v>
      </c>
      <c r="E52" s="49">
        <v>2712</v>
      </c>
      <c r="F52" s="49">
        <v>3298</v>
      </c>
      <c r="G52" s="49">
        <v>3718</v>
      </c>
      <c r="H52" s="38"/>
      <c r="I52" s="38"/>
      <c r="J52" s="52" t="s">
        <v>13</v>
      </c>
      <c r="K52" s="80">
        <v>881</v>
      </c>
      <c r="L52" s="80">
        <v>940</v>
      </c>
      <c r="M52" s="74">
        <v>1368</v>
      </c>
      <c r="N52" s="74">
        <v>1917</v>
      </c>
      <c r="O52" s="74">
        <v>2093</v>
      </c>
      <c r="V52" s="67"/>
    </row>
    <row r="53" spans="2:22" x14ac:dyDescent="0.45">
      <c r="B53" s="52" t="s">
        <v>13</v>
      </c>
      <c r="C53" s="49">
        <v>6102</v>
      </c>
      <c r="D53" s="49">
        <v>5018</v>
      </c>
      <c r="E53" s="49">
        <v>5830</v>
      </c>
      <c r="F53" s="49">
        <v>7488</v>
      </c>
      <c r="G53" s="49">
        <v>9083</v>
      </c>
      <c r="H53" s="38"/>
      <c r="I53" s="38"/>
      <c r="J53" s="52" t="s">
        <v>14</v>
      </c>
      <c r="K53" s="80">
        <v>565</v>
      </c>
      <c r="L53" s="80">
        <v>743</v>
      </c>
      <c r="M53" s="80">
        <v>859</v>
      </c>
      <c r="N53" s="80">
        <v>956</v>
      </c>
      <c r="O53" s="74">
        <v>1046</v>
      </c>
      <c r="V53" s="67"/>
    </row>
    <row r="54" spans="2:22" x14ac:dyDescent="0.45">
      <c r="B54" s="52" t="s">
        <v>14</v>
      </c>
      <c r="C54" s="49">
        <v>3378</v>
      </c>
      <c r="D54" s="49">
        <v>3508</v>
      </c>
      <c r="E54" s="49">
        <v>4357</v>
      </c>
      <c r="F54" s="49">
        <v>4724</v>
      </c>
      <c r="G54" s="49">
        <v>6074</v>
      </c>
      <c r="H54" s="38"/>
      <c r="I54" s="38"/>
      <c r="J54" s="52" t="s">
        <v>15</v>
      </c>
      <c r="K54" s="80">
        <v>822</v>
      </c>
      <c r="L54" s="74">
        <v>1067</v>
      </c>
      <c r="M54" s="74">
        <v>1936</v>
      </c>
      <c r="N54" s="74">
        <v>2693</v>
      </c>
      <c r="O54" s="74">
        <v>3535</v>
      </c>
      <c r="V54" s="67"/>
    </row>
    <row r="55" spans="2:22" x14ac:dyDescent="0.45">
      <c r="B55" s="43" t="s">
        <v>15</v>
      </c>
      <c r="C55" s="44">
        <v>3158</v>
      </c>
      <c r="D55" s="44">
        <v>9362</v>
      </c>
      <c r="E55" s="44">
        <v>14060</v>
      </c>
      <c r="F55" s="44">
        <v>15978</v>
      </c>
      <c r="G55" s="44">
        <v>19080</v>
      </c>
      <c r="H55" s="34"/>
      <c r="I55" s="34"/>
      <c r="J55" s="52" t="s">
        <v>16</v>
      </c>
      <c r="K55" s="79">
        <v>0.26</v>
      </c>
      <c r="L55" s="79">
        <v>0.31</v>
      </c>
      <c r="M55" s="79">
        <v>0.32</v>
      </c>
      <c r="N55" s="79">
        <v>0.34</v>
      </c>
      <c r="O55" s="79">
        <v>0.33</v>
      </c>
      <c r="V55" s="71"/>
    </row>
    <row r="56" spans="2:22" x14ac:dyDescent="0.45">
      <c r="B56" s="52" t="s">
        <v>16</v>
      </c>
      <c r="C56" s="51">
        <v>0.52</v>
      </c>
      <c r="D56" s="51">
        <v>0.23</v>
      </c>
      <c r="E56" s="51">
        <v>0.19</v>
      </c>
      <c r="F56" s="51">
        <v>0.23</v>
      </c>
      <c r="G56" s="51">
        <v>0.26</v>
      </c>
      <c r="H56" s="40"/>
      <c r="I56" s="40"/>
      <c r="J56" s="52" t="s">
        <v>91</v>
      </c>
      <c r="K56" s="80">
        <v>608</v>
      </c>
      <c r="L56" s="80">
        <v>731</v>
      </c>
      <c r="M56" s="74">
        <v>1309</v>
      </c>
      <c r="N56" s="74">
        <v>1779</v>
      </c>
      <c r="O56" s="74">
        <v>2380</v>
      </c>
      <c r="V56" s="67"/>
    </row>
    <row r="57" spans="2:22" x14ac:dyDescent="0.45">
      <c r="B57" s="43" t="s">
        <v>110</v>
      </c>
      <c r="C57" s="44">
        <v>1512</v>
      </c>
      <c r="D57" s="44">
        <v>7253</v>
      </c>
      <c r="E57" s="44">
        <v>11374</v>
      </c>
      <c r="F57" s="44">
        <v>12270</v>
      </c>
      <c r="G57" s="44">
        <v>14073</v>
      </c>
      <c r="H57" s="34"/>
      <c r="I57" s="37"/>
      <c r="J57" s="45" t="s">
        <v>96</v>
      </c>
      <c r="K57" s="80">
        <v>0</v>
      </c>
      <c r="L57" s="80">
        <v>0</v>
      </c>
      <c r="M57" s="80">
        <v>0</v>
      </c>
      <c r="N57" s="80">
        <v>0</v>
      </c>
      <c r="O57" s="80">
        <v>0</v>
      </c>
      <c r="V57" s="71"/>
    </row>
    <row r="58" spans="2:22" x14ac:dyDescent="0.45">
      <c r="B58" s="45" t="s">
        <v>96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39"/>
      <c r="I58" s="39"/>
      <c r="J58" s="45" t="s">
        <v>97</v>
      </c>
      <c r="K58" s="80">
        <v>-13</v>
      </c>
      <c r="L58" s="80">
        <v>26</v>
      </c>
      <c r="M58" s="80">
        <v>19</v>
      </c>
      <c r="N58" s="80">
        <v>-92</v>
      </c>
      <c r="O58" s="80">
        <v>-144</v>
      </c>
      <c r="V58" s="71"/>
    </row>
    <row r="59" spans="2:22" x14ac:dyDescent="0.45">
      <c r="B59" s="45" t="s">
        <v>97</v>
      </c>
      <c r="C59" s="50">
        <v>300</v>
      </c>
      <c r="D59" s="50">
        <v>-676</v>
      </c>
      <c r="E59" s="49">
        <v>-1093</v>
      </c>
      <c r="F59" s="49">
        <v>-1001</v>
      </c>
      <c r="G59" s="49">
        <v>-1144</v>
      </c>
      <c r="H59" s="39"/>
      <c r="I59" s="39"/>
      <c r="J59" s="45" t="s">
        <v>18</v>
      </c>
      <c r="K59" s="80">
        <v>-8</v>
      </c>
      <c r="L59" s="80">
        <v>-25</v>
      </c>
      <c r="M59" s="80">
        <v>30</v>
      </c>
      <c r="N59" s="80">
        <v>58</v>
      </c>
      <c r="O59" s="80">
        <v>70</v>
      </c>
      <c r="V59" s="71"/>
    </row>
    <row r="60" spans="2:22" x14ac:dyDescent="0.45">
      <c r="B60" s="45" t="s">
        <v>18</v>
      </c>
      <c r="C60" s="50">
        <v>-419</v>
      </c>
      <c r="D60" s="50">
        <v>321</v>
      </c>
      <c r="E60" s="49">
        <v>1006</v>
      </c>
      <c r="F60" s="50">
        <v>0</v>
      </c>
      <c r="G60" s="50">
        <v>0</v>
      </c>
      <c r="H60" s="39"/>
      <c r="I60" s="39"/>
      <c r="J60" s="45" t="s">
        <v>19</v>
      </c>
      <c r="K60" s="80">
        <v>615</v>
      </c>
      <c r="L60" s="80">
        <v>756</v>
      </c>
      <c r="M60" s="74">
        <v>1280</v>
      </c>
      <c r="N60" s="74">
        <v>1720</v>
      </c>
      <c r="O60" s="74">
        <v>2310</v>
      </c>
      <c r="V60" s="71"/>
    </row>
    <row r="61" spans="2:22" x14ac:dyDescent="0.45">
      <c r="B61" s="45" t="s">
        <v>19</v>
      </c>
      <c r="C61" s="49">
        <v>1932</v>
      </c>
      <c r="D61" s="49">
        <v>6932</v>
      </c>
      <c r="E61" s="49">
        <v>10369</v>
      </c>
      <c r="F61" s="49">
        <v>12270</v>
      </c>
      <c r="G61" s="49">
        <v>14073</v>
      </c>
      <c r="H61" s="38"/>
      <c r="I61" s="39"/>
      <c r="J61" s="45" t="s">
        <v>20</v>
      </c>
      <c r="K61" s="80">
        <v>602</v>
      </c>
      <c r="L61" s="80">
        <v>781</v>
      </c>
      <c r="M61" s="74">
        <v>1299</v>
      </c>
      <c r="N61" s="74">
        <v>1631</v>
      </c>
      <c r="O61" s="74">
        <v>2170</v>
      </c>
      <c r="V61" s="71"/>
    </row>
    <row r="62" spans="2:22" x14ac:dyDescent="0.45">
      <c r="B62" s="45" t="s">
        <v>20</v>
      </c>
      <c r="C62" s="49">
        <v>2232</v>
      </c>
      <c r="D62" s="49">
        <v>6286</v>
      </c>
      <c r="E62" s="49">
        <v>9372</v>
      </c>
      <c r="F62" s="49">
        <v>11269</v>
      </c>
      <c r="G62" s="49">
        <v>12929</v>
      </c>
      <c r="H62" s="38"/>
      <c r="I62" s="39"/>
      <c r="J62" s="45" t="s">
        <v>21</v>
      </c>
      <c r="K62" s="80">
        <v>594</v>
      </c>
      <c r="L62" s="80">
        <v>757</v>
      </c>
      <c r="M62" s="74">
        <v>1329</v>
      </c>
      <c r="N62" s="74">
        <v>1686</v>
      </c>
      <c r="O62" s="74">
        <v>2236</v>
      </c>
      <c r="V62" s="71"/>
    </row>
    <row r="63" spans="2:22" x14ac:dyDescent="0.45">
      <c r="B63" s="45" t="s">
        <v>21</v>
      </c>
      <c r="C63" s="49">
        <v>1812</v>
      </c>
      <c r="D63" s="49">
        <v>6577</v>
      </c>
      <c r="E63" s="49">
        <v>10282</v>
      </c>
      <c r="F63" s="49">
        <v>11269</v>
      </c>
      <c r="G63" s="49">
        <v>12929</v>
      </c>
      <c r="H63" s="38"/>
      <c r="I63" s="39"/>
      <c r="J63" s="52" t="s">
        <v>22</v>
      </c>
      <c r="K63" s="80">
        <v>12.51</v>
      </c>
      <c r="L63" s="80">
        <v>15.93</v>
      </c>
      <c r="M63" s="80">
        <v>27.97</v>
      </c>
      <c r="N63" s="80">
        <v>35.5</v>
      </c>
      <c r="O63" s="80">
        <v>47.06</v>
      </c>
      <c r="V63" s="71"/>
    </row>
    <row r="64" spans="2:22" x14ac:dyDescent="0.45">
      <c r="B64" s="52" t="s">
        <v>22</v>
      </c>
      <c r="C64" s="50">
        <v>14.58</v>
      </c>
      <c r="D64" s="50">
        <v>52.91</v>
      </c>
      <c r="E64" s="50">
        <v>82.68</v>
      </c>
      <c r="F64" s="50">
        <v>90.62</v>
      </c>
      <c r="G64" s="50">
        <v>103.97</v>
      </c>
      <c r="H64" s="39"/>
      <c r="I64" s="39"/>
      <c r="J64" s="52" t="s">
        <v>23</v>
      </c>
      <c r="K64" s="79">
        <v>0.28000000000000003</v>
      </c>
      <c r="L64" s="79">
        <v>0.24</v>
      </c>
      <c r="M64" s="79">
        <v>0.18</v>
      </c>
      <c r="N64" s="79">
        <v>0.23</v>
      </c>
      <c r="O64" s="79">
        <v>0.21</v>
      </c>
      <c r="V64" s="71"/>
    </row>
    <row r="65" spans="2:15" x14ac:dyDescent="0.45">
      <c r="B65" s="52" t="s">
        <v>23</v>
      </c>
      <c r="C65" s="51">
        <v>0.54</v>
      </c>
      <c r="D65" s="51">
        <v>0.2</v>
      </c>
      <c r="E65" s="51">
        <v>0.18</v>
      </c>
      <c r="F65" s="51">
        <v>0.21</v>
      </c>
      <c r="G65" s="51">
        <v>0.22</v>
      </c>
      <c r="H65" s="40"/>
      <c r="I65" s="40"/>
      <c r="O65" s="39"/>
    </row>
    <row r="66" spans="2:15" x14ac:dyDescent="0.45">
      <c r="O66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5840-66D1-4F06-8A00-8EC45944ACFB}">
  <dimension ref="B3:Z83"/>
  <sheetViews>
    <sheetView topLeftCell="A39" zoomScale="73" workbookViewId="0">
      <selection activeCell="H35" activeCellId="1" sqref="M4 H35"/>
    </sheetView>
  </sheetViews>
  <sheetFormatPr defaultColWidth="8.796875" defaultRowHeight="14.25" x14ac:dyDescent="0.45"/>
  <cols>
    <col min="1" max="1" width="8.796875" customWidth="1"/>
    <col min="2" max="2" width="24.6640625" bestFit="1" customWidth="1"/>
    <col min="3" max="3" width="10.796875" bestFit="1" customWidth="1"/>
    <col min="4" max="4" width="18.1328125" bestFit="1" customWidth="1"/>
    <col min="5" max="9" width="10.796875" bestFit="1" customWidth="1"/>
    <col min="10" max="10" width="24.6640625" bestFit="1" customWidth="1"/>
    <col min="11" max="11" width="11.46484375" bestFit="1" customWidth="1"/>
    <col min="12" max="12" width="9.796875" bestFit="1" customWidth="1"/>
    <col min="13" max="13" width="13.46484375" bestFit="1" customWidth="1"/>
    <col min="14" max="15" width="9.796875" bestFit="1" customWidth="1"/>
    <col min="16" max="16" width="20.6640625" bestFit="1" customWidth="1"/>
    <col min="17" max="19" width="9.1328125" bestFit="1" customWidth="1"/>
    <col min="20" max="20" width="13.46484375" bestFit="1" customWidth="1"/>
    <col min="21" max="26" width="9.1328125" bestFit="1" customWidth="1"/>
    <col min="27" max="28" width="9.796875" bestFit="1" customWidth="1"/>
  </cols>
  <sheetData>
    <row r="3" spans="2:15" x14ac:dyDescent="0.45">
      <c r="D3" t="s">
        <v>24</v>
      </c>
    </row>
    <row r="4" spans="2:15" x14ac:dyDescent="0.45">
      <c r="M4" t="s">
        <v>87</v>
      </c>
    </row>
    <row r="5" spans="2:15" x14ac:dyDescent="0.45">
      <c r="B5" s="1" t="s">
        <v>0</v>
      </c>
      <c r="C5" s="2">
        <v>44256</v>
      </c>
      <c r="D5" s="2">
        <v>44621</v>
      </c>
      <c r="E5" s="2">
        <v>44986</v>
      </c>
      <c r="F5" s="2">
        <v>45352</v>
      </c>
      <c r="G5" s="2">
        <v>45717</v>
      </c>
      <c r="J5" s="18"/>
      <c r="K5" s="27">
        <v>44256</v>
      </c>
      <c r="L5" s="27">
        <v>44621</v>
      </c>
      <c r="M5" s="27">
        <v>44986</v>
      </c>
      <c r="N5" s="27">
        <v>45352</v>
      </c>
      <c r="O5" s="27">
        <v>45717</v>
      </c>
    </row>
    <row r="6" spans="2:15" x14ac:dyDescent="0.45">
      <c r="B6" s="15"/>
      <c r="J6" s="22" t="s">
        <v>25</v>
      </c>
      <c r="K6" s="28">
        <v>151</v>
      </c>
      <c r="L6" s="28">
        <v>151</v>
      </c>
      <c r="M6" s="28">
        <v>151</v>
      </c>
      <c r="N6" s="28">
        <v>157</v>
      </c>
      <c r="O6" s="28">
        <v>157</v>
      </c>
    </row>
    <row r="7" spans="2:15" x14ac:dyDescent="0.45">
      <c r="B7" s="3" t="s">
        <v>25</v>
      </c>
      <c r="C7" s="3">
        <v>40</v>
      </c>
      <c r="D7" s="3">
        <v>40</v>
      </c>
      <c r="E7" s="3">
        <v>40</v>
      </c>
      <c r="F7" s="3">
        <v>40</v>
      </c>
      <c r="G7" s="3">
        <v>40</v>
      </c>
      <c r="J7" s="26" t="s">
        <v>26</v>
      </c>
      <c r="K7" s="29">
        <v>51216</v>
      </c>
      <c r="L7" s="29">
        <v>53935</v>
      </c>
      <c r="M7" s="29">
        <v>60231</v>
      </c>
      <c r="N7" s="29">
        <v>83825</v>
      </c>
      <c r="O7" s="29">
        <v>93890</v>
      </c>
    </row>
    <row r="8" spans="2:15" x14ac:dyDescent="0.45">
      <c r="B8" s="3" t="s">
        <v>26</v>
      </c>
      <c r="C8" s="4">
        <v>15158</v>
      </c>
      <c r="D8" s="4">
        <v>15743</v>
      </c>
      <c r="E8" s="4">
        <v>16665</v>
      </c>
      <c r="F8" s="4">
        <v>17946</v>
      </c>
      <c r="G8" s="4">
        <v>19767</v>
      </c>
      <c r="J8" s="22" t="s">
        <v>27</v>
      </c>
      <c r="K8" s="28">
        <v>531</v>
      </c>
      <c r="L8" s="28">
        <v>419</v>
      </c>
      <c r="M8" s="30">
        <v>1247</v>
      </c>
      <c r="N8" s="28">
        <v>119</v>
      </c>
      <c r="O8" s="28">
        <v>76</v>
      </c>
    </row>
    <row r="9" spans="2:15" x14ac:dyDescent="0.45">
      <c r="B9" s="3" t="s">
        <v>27</v>
      </c>
      <c r="C9" s="3">
        <v>150</v>
      </c>
      <c r="D9" s="3">
        <v>168</v>
      </c>
      <c r="E9" s="3">
        <v>156</v>
      </c>
      <c r="F9" s="3">
        <v>138</v>
      </c>
      <c r="G9" s="3">
        <v>163</v>
      </c>
      <c r="J9" s="22" t="s">
        <v>92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</row>
    <row r="10" spans="2:15" x14ac:dyDescent="0.45">
      <c r="B10" s="3" t="s">
        <v>28</v>
      </c>
      <c r="C10" s="3">
        <v>150</v>
      </c>
      <c r="D10" s="3">
        <v>168</v>
      </c>
      <c r="E10" s="3">
        <v>156</v>
      </c>
      <c r="F10" s="3">
        <v>138</v>
      </c>
      <c r="G10" s="3">
        <v>163</v>
      </c>
      <c r="J10" s="22" t="s">
        <v>93</v>
      </c>
      <c r="K10" s="28">
        <v>489</v>
      </c>
      <c r="L10" s="28">
        <v>382</v>
      </c>
      <c r="M10" s="30">
        <v>1216</v>
      </c>
      <c r="N10" s="28">
        <v>33</v>
      </c>
      <c r="O10" s="28">
        <v>0</v>
      </c>
    </row>
    <row r="11" spans="2:15" x14ac:dyDescent="0.45">
      <c r="B11" s="3" t="s">
        <v>29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J11" s="22" t="s">
        <v>28</v>
      </c>
      <c r="K11" s="28">
        <v>42</v>
      </c>
      <c r="L11" s="28">
        <v>37</v>
      </c>
      <c r="M11" s="28">
        <v>32</v>
      </c>
      <c r="N11" s="28">
        <v>86</v>
      </c>
      <c r="O11" s="28">
        <v>76</v>
      </c>
    </row>
    <row r="12" spans="2:15" x14ac:dyDescent="0.45">
      <c r="B12" s="3" t="s">
        <v>30</v>
      </c>
      <c r="C12" s="4">
        <v>6813</v>
      </c>
      <c r="D12" s="4">
        <v>5763</v>
      </c>
      <c r="E12" s="4">
        <v>6402</v>
      </c>
      <c r="F12" s="4">
        <v>7448</v>
      </c>
      <c r="G12" s="4">
        <v>7950</v>
      </c>
      <c r="J12" s="22" t="s">
        <v>29</v>
      </c>
      <c r="K12" s="28">
        <v>0</v>
      </c>
      <c r="L12" s="28">
        <v>0</v>
      </c>
      <c r="M12" s="28">
        <v>0</v>
      </c>
      <c r="N12" s="28">
        <v>0</v>
      </c>
      <c r="O12" s="28">
        <v>0</v>
      </c>
    </row>
    <row r="13" spans="2:15" x14ac:dyDescent="0.45">
      <c r="B13" s="3" t="s">
        <v>31</v>
      </c>
      <c r="C13" s="4">
        <v>5205</v>
      </c>
      <c r="D13" s="4">
        <v>4260</v>
      </c>
      <c r="E13" s="4">
        <v>4704</v>
      </c>
      <c r="F13" s="4">
        <v>5528</v>
      </c>
      <c r="G13" s="4">
        <v>5566</v>
      </c>
      <c r="J13" s="26" t="s">
        <v>30</v>
      </c>
      <c r="K13" s="29">
        <v>18263</v>
      </c>
      <c r="L13" s="29">
        <v>18889</v>
      </c>
      <c r="M13" s="29">
        <v>21549</v>
      </c>
      <c r="N13" s="29">
        <v>26184</v>
      </c>
      <c r="O13" s="29">
        <v>31497</v>
      </c>
    </row>
    <row r="14" spans="2:15" x14ac:dyDescent="0.45">
      <c r="B14" s="3" t="s">
        <v>32</v>
      </c>
      <c r="C14" s="3">
        <v>62</v>
      </c>
      <c r="D14" s="3">
        <v>112</v>
      </c>
      <c r="E14" s="3">
        <v>78</v>
      </c>
      <c r="F14" s="3">
        <v>73</v>
      </c>
      <c r="G14" s="3">
        <v>92</v>
      </c>
      <c r="J14" s="26" t="s">
        <v>31</v>
      </c>
      <c r="K14" s="29">
        <v>10162</v>
      </c>
      <c r="L14" s="29">
        <v>9761</v>
      </c>
      <c r="M14" s="29">
        <v>11780</v>
      </c>
      <c r="N14" s="29">
        <v>14582</v>
      </c>
      <c r="O14" s="29">
        <v>17421</v>
      </c>
    </row>
    <row r="15" spans="2:15" x14ac:dyDescent="0.45">
      <c r="B15" s="3" t="s">
        <v>33</v>
      </c>
      <c r="C15" s="4">
        <v>1546</v>
      </c>
      <c r="D15" s="4">
        <v>1390</v>
      </c>
      <c r="E15" s="4">
        <v>1619</v>
      </c>
      <c r="F15" s="4">
        <v>1847</v>
      </c>
      <c r="G15" s="4">
        <v>2292</v>
      </c>
      <c r="J15" s="26" t="s">
        <v>32</v>
      </c>
      <c r="K15" s="29">
        <v>1018</v>
      </c>
      <c r="L15" s="29">
        <v>1125</v>
      </c>
      <c r="M15" s="29">
        <v>1456</v>
      </c>
      <c r="N15" s="29">
        <v>1460</v>
      </c>
      <c r="O15" s="29">
        <v>1130</v>
      </c>
    </row>
    <row r="16" spans="2:15" x14ac:dyDescent="0.45">
      <c r="B16" s="5" t="s">
        <v>34</v>
      </c>
      <c r="C16" s="6">
        <v>22161</v>
      </c>
      <c r="D16" s="6">
        <v>21714</v>
      </c>
      <c r="E16" s="6">
        <v>23263</v>
      </c>
      <c r="F16" s="6">
        <v>25572</v>
      </c>
      <c r="G16" s="6">
        <v>27920</v>
      </c>
      <c r="J16" s="26" t="s">
        <v>33</v>
      </c>
      <c r="K16" s="29">
        <v>7084</v>
      </c>
      <c r="L16" s="29">
        <v>8004</v>
      </c>
      <c r="M16" s="29">
        <v>8313</v>
      </c>
      <c r="N16" s="29">
        <v>10142</v>
      </c>
      <c r="O16" s="29">
        <v>12946</v>
      </c>
    </row>
    <row r="17" spans="2:15" x14ac:dyDescent="0.45">
      <c r="B17" s="3" t="s">
        <v>35</v>
      </c>
      <c r="C17" s="4">
        <v>5988</v>
      </c>
      <c r="D17" s="4">
        <v>5806</v>
      </c>
      <c r="E17" s="4">
        <v>5761</v>
      </c>
      <c r="F17" s="4">
        <v>5834</v>
      </c>
      <c r="G17" s="4">
        <v>5901</v>
      </c>
      <c r="J17" s="22" t="s">
        <v>34</v>
      </c>
      <c r="K17" s="30">
        <v>70161</v>
      </c>
      <c r="L17" s="30">
        <v>73394</v>
      </c>
      <c r="M17" s="30">
        <v>83179</v>
      </c>
      <c r="N17" s="30">
        <v>110285</v>
      </c>
      <c r="O17" s="30">
        <v>125620</v>
      </c>
    </row>
    <row r="18" spans="2:15" x14ac:dyDescent="0.45">
      <c r="B18" s="3" t="s">
        <v>36</v>
      </c>
      <c r="C18" s="3">
        <v>442</v>
      </c>
      <c r="D18" s="3">
        <v>431</v>
      </c>
      <c r="E18" s="3">
        <v>430</v>
      </c>
      <c r="F18" s="3">
        <v>430</v>
      </c>
      <c r="G18" s="3">
        <v>427</v>
      </c>
      <c r="J18" s="26" t="s">
        <v>35</v>
      </c>
      <c r="K18" s="29">
        <v>14957</v>
      </c>
      <c r="L18" s="29">
        <v>13717</v>
      </c>
      <c r="M18" s="29">
        <v>17805</v>
      </c>
      <c r="N18" s="29">
        <v>18495</v>
      </c>
      <c r="O18" s="29">
        <v>24707</v>
      </c>
    </row>
    <row r="19" spans="2:15" x14ac:dyDescent="0.45">
      <c r="B19" s="3" t="s">
        <v>37</v>
      </c>
      <c r="C19" s="4">
        <v>2866</v>
      </c>
      <c r="D19" s="4">
        <v>2950</v>
      </c>
      <c r="E19" s="4">
        <v>3234</v>
      </c>
      <c r="F19" s="4">
        <v>3261</v>
      </c>
      <c r="G19" s="4">
        <v>3362</v>
      </c>
      <c r="J19" s="26" t="s">
        <v>36</v>
      </c>
      <c r="K19" s="29">
        <v>4549</v>
      </c>
      <c r="L19" s="29">
        <v>4575</v>
      </c>
      <c r="M19" s="29">
        <v>6813</v>
      </c>
      <c r="N19" s="29">
        <v>6892</v>
      </c>
      <c r="O19" s="29">
        <v>6917</v>
      </c>
    </row>
    <row r="20" spans="2:15" x14ac:dyDescent="0.45">
      <c r="B20" s="3" t="s">
        <v>38</v>
      </c>
      <c r="C20" s="4">
        <v>6267</v>
      </c>
      <c r="D20" s="4">
        <v>6427</v>
      </c>
      <c r="E20" s="4">
        <v>6626</v>
      </c>
      <c r="F20" s="4">
        <v>6963</v>
      </c>
      <c r="G20" s="4">
        <v>7340</v>
      </c>
      <c r="J20" s="26" t="s">
        <v>37</v>
      </c>
      <c r="K20" s="29">
        <v>2817</v>
      </c>
      <c r="L20" s="29">
        <v>2942</v>
      </c>
      <c r="M20" s="29">
        <v>3232</v>
      </c>
      <c r="N20" s="29">
        <v>3560</v>
      </c>
      <c r="O20" s="29">
        <v>6065</v>
      </c>
    </row>
    <row r="21" spans="2:15" x14ac:dyDescent="0.45">
      <c r="B21" s="3" t="s">
        <v>39</v>
      </c>
      <c r="C21" s="3">
        <v>85</v>
      </c>
      <c r="D21" s="3">
        <v>95</v>
      </c>
      <c r="E21" s="3">
        <v>99</v>
      </c>
      <c r="F21" s="3">
        <v>107</v>
      </c>
      <c r="G21" s="3">
        <v>119</v>
      </c>
      <c r="J21" s="26" t="s">
        <v>38</v>
      </c>
      <c r="K21" s="29">
        <v>22255</v>
      </c>
      <c r="L21" s="29">
        <v>22704</v>
      </c>
      <c r="M21" s="29">
        <v>26167</v>
      </c>
      <c r="N21" s="29">
        <v>28795</v>
      </c>
      <c r="O21" s="29">
        <v>34763</v>
      </c>
    </row>
    <row r="22" spans="2:15" x14ac:dyDescent="0.45">
      <c r="B22" s="3" t="s">
        <v>40</v>
      </c>
      <c r="C22" s="3">
        <v>246</v>
      </c>
      <c r="D22" s="3">
        <v>256</v>
      </c>
      <c r="E22" s="3">
        <v>284</v>
      </c>
      <c r="F22" s="3">
        <v>319</v>
      </c>
      <c r="G22" s="3">
        <v>342</v>
      </c>
      <c r="J22" s="26" t="s">
        <v>40</v>
      </c>
      <c r="K22" s="31">
        <v>292</v>
      </c>
      <c r="L22" s="31">
        <v>323</v>
      </c>
      <c r="M22" s="31">
        <v>367</v>
      </c>
      <c r="N22" s="31">
        <v>444</v>
      </c>
      <c r="O22" s="31">
        <v>515</v>
      </c>
    </row>
    <row r="23" spans="2:15" x14ac:dyDescent="0.45">
      <c r="B23" s="3" t="s">
        <v>41</v>
      </c>
      <c r="C23" s="3">
        <v>54</v>
      </c>
      <c r="D23" s="3">
        <v>57</v>
      </c>
      <c r="E23" s="3">
        <v>58</v>
      </c>
      <c r="F23" s="3">
        <v>75</v>
      </c>
      <c r="G23" s="3">
        <v>86</v>
      </c>
      <c r="J23" s="26" t="s">
        <v>41</v>
      </c>
      <c r="K23" s="31">
        <v>402</v>
      </c>
      <c r="L23" s="31">
        <v>443</v>
      </c>
      <c r="M23" s="31">
        <v>484</v>
      </c>
      <c r="N23" s="31">
        <v>550</v>
      </c>
      <c r="O23" s="31">
        <v>610</v>
      </c>
    </row>
    <row r="24" spans="2:15" x14ac:dyDescent="0.45">
      <c r="B24" s="3" t="s">
        <v>42</v>
      </c>
      <c r="C24" s="3">
        <v>54</v>
      </c>
      <c r="D24" s="3">
        <v>51</v>
      </c>
      <c r="E24" s="3">
        <v>55</v>
      </c>
      <c r="F24" s="3">
        <v>74</v>
      </c>
      <c r="G24" s="3">
        <v>115</v>
      </c>
      <c r="J24" s="26" t="s">
        <v>94</v>
      </c>
      <c r="K24" s="31">
        <v>0</v>
      </c>
      <c r="L24" s="31">
        <v>0</v>
      </c>
      <c r="M24" s="31">
        <v>73</v>
      </c>
      <c r="N24" s="31">
        <v>74</v>
      </c>
      <c r="O24" s="31">
        <v>94</v>
      </c>
    </row>
    <row r="25" spans="2:15" x14ac:dyDescent="0.45">
      <c r="B25" s="3" t="s">
        <v>43</v>
      </c>
      <c r="C25" s="4">
        <v>2896</v>
      </c>
      <c r="D25" s="4">
        <v>2896</v>
      </c>
      <c r="E25" s="4">
        <v>2896</v>
      </c>
      <c r="F25" s="4">
        <v>2896</v>
      </c>
      <c r="G25" s="4">
        <v>2896</v>
      </c>
      <c r="J25" s="26" t="s">
        <v>42</v>
      </c>
      <c r="K25" s="31">
        <v>173</v>
      </c>
      <c r="L25" s="31">
        <v>248</v>
      </c>
      <c r="M25" s="31">
        <v>282</v>
      </c>
      <c r="N25" s="31">
        <v>330</v>
      </c>
      <c r="O25" s="31">
        <v>453</v>
      </c>
    </row>
    <row r="26" spans="2:15" x14ac:dyDescent="0.45">
      <c r="B26" s="3" t="s">
        <v>44</v>
      </c>
      <c r="C26" s="4">
        <v>1415</v>
      </c>
      <c r="D26" s="4">
        <v>1504</v>
      </c>
      <c r="E26" s="4">
        <v>1512</v>
      </c>
      <c r="F26" s="4">
        <v>1662</v>
      </c>
      <c r="G26" s="4">
        <v>1851</v>
      </c>
      <c r="J26" s="26" t="s">
        <v>44</v>
      </c>
      <c r="K26" s="31">
        <v>967</v>
      </c>
      <c r="L26" s="29">
        <v>1254</v>
      </c>
      <c r="M26" s="29">
        <v>1660</v>
      </c>
      <c r="N26" s="29">
        <v>1780</v>
      </c>
      <c r="O26" s="29">
        <v>1993</v>
      </c>
    </row>
    <row r="27" spans="2:15" x14ac:dyDescent="0.45">
      <c r="B27" s="3" t="s">
        <v>45</v>
      </c>
      <c r="C27" s="4">
        <v>14324</v>
      </c>
      <c r="D27" s="4">
        <v>14666</v>
      </c>
      <c r="E27" s="4">
        <v>15194</v>
      </c>
      <c r="F27" s="4">
        <v>15786</v>
      </c>
      <c r="G27" s="4">
        <v>16538</v>
      </c>
      <c r="J27" s="26" t="s">
        <v>45</v>
      </c>
      <c r="K27" s="29">
        <v>31455</v>
      </c>
      <c r="L27" s="29">
        <v>32489</v>
      </c>
      <c r="M27" s="29">
        <v>39078</v>
      </c>
      <c r="N27" s="29">
        <v>42426</v>
      </c>
      <c r="O27" s="29">
        <v>51410</v>
      </c>
    </row>
    <row r="28" spans="2:15" x14ac:dyDescent="0.45">
      <c r="B28" s="3" t="s">
        <v>46</v>
      </c>
      <c r="C28" s="4">
        <v>8336</v>
      </c>
      <c r="D28" s="4">
        <v>8859</v>
      </c>
      <c r="E28" s="4">
        <v>9433</v>
      </c>
      <c r="F28" s="4">
        <v>9952</v>
      </c>
      <c r="G28" s="4">
        <v>10637</v>
      </c>
      <c r="J28" s="26" t="s">
        <v>46</v>
      </c>
      <c r="K28" s="29">
        <v>16498</v>
      </c>
      <c r="L28" s="29">
        <v>18772</v>
      </c>
      <c r="M28" s="29">
        <v>21273</v>
      </c>
      <c r="N28" s="29">
        <v>23931</v>
      </c>
      <c r="O28" s="29">
        <v>26704</v>
      </c>
    </row>
    <row r="29" spans="2:15" x14ac:dyDescent="0.45">
      <c r="B29" s="3" t="s">
        <v>47</v>
      </c>
      <c r="C29" s="3">
        <v>437</v>
      </c>
      <c r="D29" s="3">
        <v>458</v>
      </c>
      <c r="E29" s="3">
        <v>464</v>
      </c>
      <c r="F29" s="3">
        <v>481</v>
      </c>
      <c r="G29" s="3">
        <v>492</v>
      </c>
      <c r="J29" s="22" t="s">
        <v>47</v>
      </c>
      <c r="K29" s="30">
        <v>1490</v>
      </c>
      <c r="L29" s="30">
        <v>2929</v>
      </c>
      <c r="M29" s="30">
        <v>2897</v>
      </c>
      <c r="N29" s="30">
        <v>6534</v>
      </c>
      <c r="O29" s="30">
        <v>5759</v>
      </c>
    </row>
    <row r="30" spans="2:15" x14ac:dyDescent="0.45">
      <c r="B30" s="3" t="s">
        <v>48</v>
      </c>
      <c r="C30" s="4">
        <v>10500</v>
      </c>
      <c r="D30" s="4">
        <v>10652</v>
      </c>
      <c r="E30" s="4">
        <v>11010</v>
      </c>
      <c r="F30" s="4">
        <v>13086</v>
      </c>
      <c r="G30" s="4">
        <v>14910</v>
      </c>
      <c r="J30" s="26" t="s">
        <v>48</v>
      </c>
      <c r="K30" s="29">
        <v>41787</v>
      </c>
      <c r="L30" s="29">
        <v>40763</v>
      </c>
      <c r="M30" s="29">
        <v>47756</v>
      </c>
      <c r="N30" s="29">
        <v>68514</v>
      </c>
      <c r="O30" s="29">
        <v>74506</v>
      </c>
    </row>
    <row r="31" spans="2:15" x14ac:dyDescent="0.45">
      <c r="B31" s="3" t="s">
        <v>49</v>
      </c>
      <c r="C31" s="4">
        <v>5236</v>
      </c>
      <c r="D31" s="4">
        <v>4797</v>
      </c>
      <c r="E31" s="4">
        <v>6028</v>
      </c>
      <c r="F31" s="4">
        <v>6171</v>
      </c>
      <c r="G31" s="4">
        <v>6617</v>
      </c>
      <c r="J31" s="22" t="s">
        <v>49</v>
      </c>
      <c r="K31" s="30">
        <v>11927</v>
      </c>
      <c r="L31" s="30">
        <v>15984</v>
      </c>
      <c r="M31" s="30">
        <v>14720</v>
      </c>
      <c r="N31" s="30">
        <v>16742</v>
      </c>
      <c r="O31" s="30">
        <v>20648</v>
      </c>
    </row>
    <row r="32" spans="2:15" x14ac:dyDescent="0.45">
      <c r="B32" s="3" t="s">
        <v>50</v>
      </c>
      <c r="C32" s="4">
        <v>1470</v>
      </c>
      <c r="D32" s="4">
        <v>1123</v>
      </c>
      <c r="E32" s="4">
        <v>1434</v>
      </c>
      <c r="F32" s="4">
        <v>1444</v>
      </c>
      <c r="G32" s="4">
        <v>1458</v>
      </c>
      <c r="J32" s="22" t="s">
        <v>50</v>
      </c>
      <c r="K32" s="30">
        <v>3050</v>
      </c>
      <c r="L32" s="30">
        <v>3533</v>
      </c>
      <c r="M32" s="30">
        <v>4284</v>
      </c>
      <c r="N32" s="30">
        <v>4120</v>
      </c>
      <c r="O32" s="30">
        <v>5123</v>
      </c>
    </row>
    <row r="33" spans="2:26" x14ac:dyDescent="0.45">
      <c r="B33" s="3" t="s">
        <v>51</v>
      </c>
      <c r="C33" s="4">
        <v>2427</v>
      </c>
      <c r="D33" s="4">
        <v>2304</v>
      </c>
      <c r="E33" s="4">
        <v>2798</v>
      </c>
      <c r="F33" s="4">
        <v>2703</v>
      </c>
      <c r="G33" s="4">
        <v>3674</v>
      </c>
      <c r="J33" s="22" t="s">
        <v>51</v>
      </c>
      <c r="K33" s="30">
        <v>1277</v>
      </c>
      <c r="L33" s="30">
        <v>2030</v>
      </c>
      <c r="M33" s="30">
        <v>3296</v>
      </c>
      <c r="N33" s="30">
        <v>4601</v>
      </c>
      <c r="O33" s="30">
        <v>6538</v>
      </c>
    </row>
    <row r="34" spans="2:26" x14ac:dyDescent="0.45">
      <c r="B34" s="3" t="s">
        <v>52</v>
      </c>
      <c r="C34" s="3">
        <v>257</v>
      </c>
      <c r="D34" s="3">
        <v>175</v>
      </c>
      <c r="E34" s="3">
        <v>346</v>
      </c>
      <c r="F34" s="3">
        <v>609</v>
      </c>
      <c r="G34" s="3">
        <v>353</v>
      </c>
      <c r="J34" s="22" t="s">
        <v>52</v>
      </c>
      <c r="K34" s="30">
        <v>3036</v>
      </c>
      <c r="L34" s="30">
        <v>3036</v>
      </c>
      <c r="M34" s="28">
        <v>38</v>
      </c>
      <c r="N34" s="28">
        <v>460</v>
      </c>
      <c r="O34" s="28">
        <v>446</v>
      </c>
    </row>
    <row r="35" spans="2:26" x14ac:dyDescent="0.45">
      <c r="B35" s="3" t="s">
        <v>53</v>
      </c>
      <c r="C35" s="3">
        <v>170</v>
      </c>
      <c r="D35" s="3">
        <v>159</v>
      </c>
      <c r="E35" s="3">
        <v>229</v>
      </c>
      <c r="F35" s="3">
        <v>383</v>
      </c>
      <c r="G35" s="3">
        <v>544</v>
      </c>
      <c r="J35" s="22" t="s">
        <v>53</v>
      </c>
      <c r="K35" s="30">
        <v>1412</v>
      </c>
      <c r="L35" s="30">
        <v>2880</v>
      </c>
      <c r="M35" s="30">
        <v>2801</v>
      </c>
      <c r="N35" s="30">
        <v>2443</v>
      </c>
      <c r="O35" s="30">
        <v>1734</v>
      </c>
    </row>
    <row r="36" spans="2:26" x14ac:dyDescent="0.45">
      <c r="B36" s="3" t="s">
        <v>54</v>
      </c>
      <c r="C36" s="3">
        <v>913</v>
      </c>
      <c r="D36" s="4">
        <v>1036</v>
      </c>
      <c r="E36" s="4">
        <v>1221</v>
      </c>
      <c r="F36" s="4">
        <v>1032</v>
      </c>
      <c r="G36" s="3">
        <v>588</v>
      </c>
      <c r="J36" s="22" t="s">
        <v>54</v>
      </c>
      <c r="K36" s="30">
        <v>3152</v>
      </c>
      <c r="L36" s="30">
        <v>4505</v>
      </c>
      <c r="M36" s="30">
        <v>4302</v>
      </c>
      <c r="N36" s="30">
        <v>5118</v>
      </c>
      <c r="O36" s="30">
        <v>6806</v>
      </c>
    </row>
    <row r="37" spans="2:26" x14ac:dyDescent="0.45">
      <c r="B37" s="5" t="s">
        <v>55</v>
      </c>
      <c r="C37" s="6">
        <v>22161</v>
      </c>
      <c r="D37" s="6">
        <v>21714</v>
      </c>
      <c r="E37" s="6">
        <v>23263</v>
      </c>
      <c r="F37" s="6">
        <v>25572</v>
      </c>
      <c r="G37" s="6">
        <v>27920</v>
      </c>
      <c r="J37" s="26" t="s">
        <v>55</v>
      </c>
      <c r="K37" s="29">
        <v>70161</v>
      </c>
      <c r="L37" s="29">
        <v>73394</v>
      </c>
      <c r="M37" s="29">
        <v>83179</v>
      </c>
      <c r="N37" s="29">
        <v>110285</v>
      </c>
      <c r="O37" s="29">
        <v>125620</v>
      </c>
    </row>
    <row r="38" spans="2:26" x14ac:dyDescent="0.45">
      <c r="P38" s="85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2:26" x14ac:dyDescent="0.45">
      <c r="P39" s="85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4" spans="2:26" x14ac:dyDescent="0.45">
      <c r="D44" t="s">
        <v>111</v>
      </c>
      <c r="K44" t="s">
        <v>98</v>
      </c>
    </row>
    <row r="46" spans="2:26" ht="17.25" x14ac:dyDescent="0.45">
      <c r="B46" s="41"/>
      <c r="C46" s="42">
        <v>44256</v>
      </c>
      <c r="D46" s="42">
        <v>44621</v>
      </c>
      <c r="E46" s="42">
        <v>44986</v>
      </c>
      <c r="F46" s="42">
        <v>45352</v>
      </c>
      <c r="G46" s="42">
        <v>45717</v>
      </c>
      <c r="J46" s="84"/>
      <c r="K46" s="73">
        <v>44256</v>
      </c>
      <c r="L46" s="73">
        <v>44621</v>
      </c>
      <c r="M46" s="73">
        <v>44986</v>
      </c>
      <c r="N46" s="73">
        <v>45352</v>
      </c>
      <c r="O46" s="73">
        <v>45717</v>
      </c>
    </row>
    <row r="47" spans="2:26" x14ac:dyDescent="0.45">
      <c r="B47" s="52" t="s">
        <v>25</v>
      </c>
      <c r="C47" s="50">
        <v>555</v>
      </c>
      <c r="D47" s="50">
        <v>556</v>
      </c>
      <c r="E47" s="50">
        <v>557</v>
      </c>
      <c r="F47" s="50">
        <v>557</v>
      </c>
      <c r="G47" s="50">
        <v>558</v>
      </c>
      <c r="H47" s="39"/>
      <c r="J47" s="52" t="s">
        <v>25</v>
      </c>
      <c r="K47" s="80">
        <v>48</v>
      </c>
      <c r="L47" s="80">
        <v>48</v>
      </c>
      <c r="M47" s="80">
        <v>48</v>
      </c>
      <c r="N47" s="80">
        <v>48</v>
      </c>
      <c r="O47" s="80">
        <v>48</v>
      </c>
    </row>
    <row r="48" spans="2:26" ht="14.65" thickBot="1" x14ac:dyDescent="0.5">
      <c r="B48" s="52" t="s">
        <v>26</v>
      </c>
      <c r="C48" s="49">
        <v>41027</v>
      </c>
      <c r="D48" s="49">
        <v>46567</v>
      </c>
      <c r="E48" s="49">
        <v>55809</v>
      </c>
      <c r="F48" s="49">
        <v>65633</v>
      </c>
      <c r="G48" s="49">
        <v>76481</v>
      </c>
      <c r="H48" s="38"/>
      <c r="J48" s="52" t="s">
        <v>26</v>
      </c>
      <c r="K48" s="74">
        <v>3779</v>
      </c>
      <c r="L48" s="74">
        <v>4352</v>
      </c>
      <c r="M48" s="74">
        <v>5457</v>
      </c>
      <c r="N48" s="74">
        <v>6736</v>
      </c>
      <c r="O48" s="74">
        <v>8456</v>
      </c>
    </row>
    <row r="49" spans="2:15" x14ac:dyDescent="0.45">
      <c r="B49" s="43" t="s">
        <v>112</v>
      </c>
      <c r="C49" s="44">
        <v>80625</v>
      </c>
      <c r="D49" s="44">
        <v>77605</v>
      </c>
      <c r="E49" s="44">
        <v>92247</v>
      </c>
      <c r="F49" s="44">
        <v>108647</v>
      </c>
      <c r="G49" s="44">
        <v>129025</v>
      </c>
      <c r="H49" s="82"/>
      <c r="J49" s="52" t="s">
        <v>27</v>
      </c>
      <c r="K49" s="74">
        <v>12179</v>
      </c>
      <c r="L49" s="74">
        <v>15827</v>
      </c>
      <c r="M49" s="74">
        <v>22376</v>
      </c>
      <c r="N49" s="74">
        <v>26006</v>
      </c>
      <c r="O49" s="74">
        <v>28609</v>
      </c>
    </row>
    <row r="50" spans="2:15" x14ac:dyDescent="0.45">
      <c r="B50" s="45" t="s">
        <v>92</v>
      </c>
      <c r="C50" s="49">
        <v>52778</v>
      </c>
      <c r="D50" s="49">
        <v>48625</v>
      </c>
      <c r="E50" s="49">
        <v>55027</v>
      </c>
      <c r="F50" s="49">
        <v>69741</v>
      </c>
      <c r="G50" s="49">
        <v>83782</v>
      </c>
      <c r="H50" s="38"/>
      <c r="J50" s="45" t="s">
        <v>92</v>
      </c>
      <c r="K50" s="74">
        <v>6280</v>
      </c>
      <c r="L50" s="74">
        <v>7306</v>
      </c>
      <c r="M50" s="74">
        <v>9064</v>
      </c>
      <c r="N50" s="74">
        <v>12629</v>
      </c>
      <c r="O50" s="74">
        <v>13933</v>
      </c>
    </row>
    <row r="51" spans="2:15" x14ac:dyDescent="0.45">
      <c r="B51" s="45" t="s">
        <v>93</v>
      </c>
      <c r="C51" s="49">
        <v>4647</v>
      </c>
      <c r="D51" s="49">
        <v>26042</v>
      </c>
      <c r="E51" s="49">
        <v>33740</v>
      </c>
      <c r="F51" s="49">
        <v>35484</v>
      </c>
      <c r="G51" s="49">
        <v>41466</v>
      </c>
      <c r="H51" s="38"/>
      <c r="J51" s="45" t="s">
        <v>93</v>
      </c>
      <c r="K51" s="74">
        <v>3069</v>
      </c>
      <c r="L51" s="74">
        <v>7992</v>
      </c>
      <c r="M51" s="74">
        <v>12562</v>
      </c>
      <c r="N51" s="74">
        <v>12657</v>
      </c>
      <c r="O51" s="74">
        <v>13683</v>
      </c>
    </row>
    <row r="52" spans="2:15" x14ac:dyDescent="0.45">
      <c r="B52" s="45" t="s">
        <v>28</v>
      </c>
      <c r="C52" s="49">
        <v>2666</v>
      </c>
      <c r="D52" s="49">
        <v>2938</v>
      </c>
      <c r="E52" s="49">
        <v>3480</v>
      </c>
      <c r="F52" s="49">
        <v>3422</v>
      </c>
      <c r="G52" s="49">
        <v>3776</v>
      </c>
      <c r="H52" s="38"/>
      <c r="J52" s="45" t="s">
        <v>28</v>
      </c>
      <c r="K52" s="80">
        <v>248</v>
      </c>
      <c r="L52" s="80">
        <v>530</v>
      </c>
      <c r="M52" s="80">
        <v>749</v>
      </c>
      <c r="N52" s="80">
        <v>719</v>
      </c>
      <c r="O52" s="80">
        <v>993</v>
      </c>
    </row>
    <row r="53" spans="2:15" x14ac:dyDescent="0.45">
      <c r="B53" s="45" t="s">
        <v>113</v>
      </c>
      <c r="C53" s="50">
        <v>0</v>
      </c>
      <c r="D53" s="50">
        <v>0</v>
      </c>
      <c r="E53" s="50">
        <v>0</v>
      </c>
      <c r="F53" s="49">
        <v>2022</v>
      </c>
      <c r="G53" s="49">
        <v>4075</v>
      </c>
      <c r="H53" s="39"/>
      <c r="J53" s="45" t="s">
        <v>29</v>
      </c>
      <c r="K53" s="74">
        <v>2581</v>
      </c>
      <c r="L53" s="80">
        <v>0</v>
      </c>
      <c r="M53" s="80">
        <v>0</v>
      </c>
      <c r="N53" s="80">
        <v>0</v>
      </c>
      <c r="O53" s="80">
        <v>0</v>
      </c>
    </row>
    <row r="54" spans="2:15" ht="14.65" thickBot="1" x14ac:dyDescent="0.5">
      <c r="B54" s="45" t="s">
        <v>29</v>
      </c>
      <c r="C54" s="49">
        <v>20533</v>
      </c>
      <c r="D54" s="50">
        <v>0</v>
      </c>
      <c r="E54" s="50">
        <v>0</v>
      </c>
      <c r="F54" s="49">
        <v>-2022</v>
      </c>
      <c r="G54" s="49">
        <v>-4075</v>
      </c>
      <c r="H54" s="39"/>
      <c r="J54" s="52" t="s">
        <v>30</v>
      </c>
      <c r="K54" s="74">
        <v>5859</v>
      </c>
      <c r="L54" s="74">
        <v>6692</v>
      </c>
      <c r="M54" s="74">
        <v>7144</v>
      </c>
      <c r="N54" s="74">
        <v>9235</v>
      </c>
      <c r="O54" s="74">
        <v>10539</v>
      </c>
    </row>
    <row r="55" spans="2:15" x14ac:dyDescent="0.45">
      <c r="B55" s="43" t="s">
        <v>114</v>
      </c>
      <c r="C55" s="44">
        <v>42762</v>
      </c>
      <c r="D55" s="44">
        <v>47661</v>
      </c>
      <c r="E55" s="44">
        <v>55670</v>
      </c>
      <c r="F55" s="44">
        <v>59884</v>
      </c>
      <c r="G55" s="44">
        <v>69950</v>
      </c>
      <c r="H55" s="82"/>
      <c r="J55" s="45" t="s">
        <v>99</v>
      </c>
      <c r="K55" s="80">
        <v>388</v>
      </c>
      <c r="L55" s="80">
        <v>654</v>
      </c>
      <c r="M55" s="80">
        <v>405</v>
      </c>
      <c r="N55" s="80">
        <v>728</v>
      </c>
      <c r="O55" s="80">
        <v>939</v>
      </c>
    </row>
    <row r="56" spans="2:15" x14ac:dyDescent="0.45">
      <c r="B56" s="45" t="s">
        <v>99</v>
      </c>
      <c r="C56" s="49">
        <v>9070</v>
      </c>
      <c r="D56" s="49">
        <v>9703</v>
      </c>
      <c r="E56" s="49">
        <v>10716</v>
      </c>
      <c r="F56" s="49">
        <v>11319</v>
      </c>
      <c r="G56" s="49">
        <v>12059</v>
      </c>
      <c r="H56" s="38"/>
      <c r="J56" s="45" t="s">
        <v>31</v>
      </c>
      <c r="K56" s="74">
        <v>4299</v>
      </c>
      <c r="L56" s="74">
        <v>4663</v>
      </c>
      <c r="M56" s="74">
        <v>5097</v>
      </c>
      <c r="N56" s="74">
        <v>6638</v>
      </c>
      <c r="O56" s="74">
        <v>7561</v>
      </c>
    </row>
    <row r="57" spans="2:15" x14ac:dyDescent="0.45">
      <c r="B57" s="45" t="s">
        <v>31</v>
      </c>
      <c r="C57" s="49">
        <v>15506</v>
      </c>
      <c r="D57" s="49">
        <v>19037</v>
      </c>
      <c r="E57" s="49">
        <v>23836</v>
      </c>
      <c r="F57" s="49">
        <v>25666</v>
      </c>
      <c r="G57" s="49">
        <v>30855</v>
      </c>
      <c r="H57" s="38"/>
      <c r="J57" s="45" t="s">
        <v>32</v>
      </c>
      <c r="K57" s="80">
        <v>176</v>
      </c>
      <c r="L57" s="80">
        <v>278</v>
      </c>
      <c r="M57" s="80">
        <v>338</v>
      </c>
      <c r="N57" s="80">
        <v>258</v>
      </c>
      <c r="O57" s="80">
        <v>394</v>
      </c>
    </row>
    <row r="58" spans="2:15" x14ac:dyDescent="0.45">
      <c r="B58" s="45" t="s">
        <v>32</v>
      </c>
      <c r="C58" s="50">
        <v>0</v>
      </c>
      <c r="D58" s="50">
        <v>0</v>
      </c>
      <c r="E58" s="50">
        <v>0</v>
      </c>
      <c r="F58" s="50">
        <v>0</v>
      </c>
      <c r="G58" s="50">
        <v>0</v>
      </c>
      <c r="H58" s="39"/>
      <c r="J58" s="45" t="s">
        <v>33</v>
      </c>
      <c r="K58" s="80">
        <v>997</v>
      </c>
      <c r="L58" s="74">
        <v>1098</v>
      </c>
      <c r="M58" s="74">
        <v>1304</v>
      </c>
      <c r="N58" s="74">
        <v>1611</v>
      </c>
      <c r="O58" s="74">
        <v>1645</v>
      </c>
    </row>
    <row r="59" spans="2:15" ht="14.65" thickBot="1" x14ac:dyDescent="0.5">
      <c r="B59" s="45" t="s">
        <v>33</v>
      </c>
      <c r="C59" s="49">
        <v>18185</v>
      </c>
      <c r="D59" s="49">
        <v>18921</v>
      </c>
      <c r="E59" s="49">
        <v>21119</v>
      </c>
      <c r="F59" s="49">
        <v>22900</v>
      </c>
      <c r="G59" s="49">
        <v>27035</v>
      </c>
      <c r="H59" s="38"/>
      <c r="J59" s="52" t="s">
        <v>34</v>
      </c>
      <c r="K59" s="74">
        <v>21865</v>
      </c>
      <c r="L59" s="74">
        <v>26919</v>
      </c>
      <c r="M59" s="74">
        <v>35025</v>
      </c>
      <c r="N59" s="74">
        <v>42024</v>
      </c>
      <c r="O59" s="74">
        <v>47651</v>
      </c>
    </row>
    <row r="60" spans="2:15" ht="14.65" thickBot="1" x14ac:dyDescent="0.5">
      <c r="B60" s="43" t="s">
        <v>34</v>
      </c>
      <c r="C60" s="44">
        <v>164968</v>
      </c>
      <c r="D60" s="44">
        <v>172388</v>
      </c>
      <c r="E60" s="44">
        <v>204283</v>
      </c>
      <c r="F60" s="44">
        <v>234722</v>
      </c>
      <c r="G60" s="44">
        <v>276013</v>
      </c>
      <c r="H60" s="82"/>
      <c r="J60" s="52" t="s">
        <v>35</v>
      </c>
      <c r="K60" s="74">
        <v>4221</v>
      </c>
      <c r="L60" s="74">
        <v>5975</v>
      </c>
      <c r="M60" s="74">
        <v>5748</v>
      </c>
      <c r="N60" s="74">
        <v>5891</v>
      </c>
      <c r="O60" s="74">
        <v>7644</v>
      </c>
    </row>
    <row r="61" spans="2:15" x14ac:dyDescent="0.45">
      <c r="B61" s="43" t="s">
        <v>115</v>
      </c>
      <c r="C61" s="44">
        <v>21380</v>
      </c>
      <c r="D61" s="44">
        <v>26018</v>
      </c>
      <c r="E61" s="44">
        <v>27140</v>
      </c>
      <c r="F61" s="44">
        <v>28129</v>
      </c>
      <c r="G61" s="44">
        <v>34636</v>
      </c>
      <c r="H61" s="82"/>
      <c r="J61" s="45" t="s">
        <v>36</v>
      </c>
      <c r="K61" s="80">
        <v>338</v>
      </c>
      <c r="L61" s="80">
        <v>358</v>
      </c>
      <c r="M61" s="80">
        <v>512</v>
      </c>
      <c r="N61" s="80">
        <v>563</v>
      </c>
      <c r="O61" s="74">
        <v>1046</v>
      </c>
    </row>
    <row r="62" spans="2:15" x14ac:dyDescent="0.45">
      <c r="B62" s="45" t="s">
        <v>36</v>
      </c>
      <c r="C62" s="49">
        <v>1712</v>
      </c>
      <c r="D62" s="49">
        <v>1931</v>
      </c>
      <c r="E62" s="49">
        <v>1977</v>
      </c>
      <c r="F62" s="49">
        <v>2098</v>
      </c>
      <c r="G62" s="49">
        <v>2115</v>
      </c>
      <c r="H62" s="39"/>
      <c r="J62" s="45" t="s">
        <v>37</v>
      </c>
      <c r="K62" s="80">
        <v>979</v>
      </c>
      <c r="L62" s="74">
        <v>1356</v>
      </c>
      <c r="M62" s="74">
        <v>1159</v>
      </c>
      <c r="N62" s="74">
        <v>1264</v>
      </c>
      <c r="O62" s="74">
        <v>1252</v>
      </c>
    </row>
    <row r="63" spans="2:15" x14ac:dyDescent="0.45">
      <c r="B63" s="45" t="s">
        <v>37</v>
      </c>
      <c r="C63" s="49">
        <v>8482</v>
      </c>
      <c r="D63" s="49">
        <v>9728</v>
      </c>
      <c r="E63" s="49">
        <v>10862</v>
      </c>
      <c r="F63" s="49">
        <v>11496</v>
      </c>
      <c r="G63" s="49">
        <v>13100</v>
      </c>
      <c r="H63" s="39"/>
      <c r="J63" s="45" t="s">
        <v>38</v>
      </c>
      <c r="K63" s="74">
        <v>4818</v>
      </c>
      <c r="L63" s="74">
        <v>5542</v>
      </c>
      <c r="M63" s="74">
        <v>5411</v>
      </c>
      <c r="N63" s="74">
        <v>5683</v>
      </c>
      <c r="O63" s="74">
        <v>6014</v>
      </c>
    </row>
    <row r="64" spans="2:15" x14ac:dyDescent="0.45">
      <c r="B64" s="45" t="s">
        <v>38</v>
      </c>
      <c r="C64" s="49">
        <v>22386</v>
      </c>
      <c r="D64" s="49">
        <v>26484</v>
      </c>
      <c r="E64" s="49">
        <v>24928</v>
      </c>
      <c r="F64" s="49">
        <v>27230</v>
      </c>
      <c r="G64" s="49">
        <v>32547</v>
      </c>
      <c r="H64" s="39"/>
      <c r="J64" s="45" t="s">
        <v>39</v>
      </c>
      <c r="K64" s="80">
        <v>240</v>
      </c>
      <c r="L64" s="80">
        <v>284</v>
      </c>
      <c r="M64" s="80">
        <v>311</v>
      </c>
      <c r="N64" s="80">
        <v>359</v>
      </c>
      <c r="O64" s="80">
        <v>429</v>
      </c>
    </row>
    <row r="65" spans="2:15" x14ac:dyDescent="0.45">
      <c r="B65" s="45" t="s">
        <v>39</v>
      </c>
      <c r="C65" s="50">
        <v>418</v>
      </c>
      <c r="D65" s="50">
        <v>445</v>
      </c>
      <c r="E65" s="50">
        <v>452</v>
      </c>
      <c r="F65" s="50">
        <v>481</v>
      </c>
      <c r="G65" s="50">
        <v>493</v>
      </c>
      <c r="H65" s="39"/>
      <c r="J65" s="45" t="s">
        <v>41</v>
      </c>
      <c r="K65" s="80">
        <v>129</v>
      </c>
      <c r="L65" s="80">
        <v>151</v>
      </c>
      <c r="M65" s="80">
        <v>171</v>
      </c>
      <c r="N65" s="80">
        <v>238</v>
      </c>
      <c r="O65" s="80">
        <v>298</v>
      </c>
    </row>
    <row r="66" spans="2:15" x14ac:dyDescent="0.45">
      <c r="B66" s="45" t="s">
        <v>41</v>
      </c>
      <c r="C66" s="50">
        <v>805</v>
      </c>
      <c r="D66" s="50">
        <v>844</v>
      </c>
      <c r="E66" s="50">
        <v>925</v>
      </c>
      <c r="F66" s="49">
        <v>1011</v>
      </c>
      <c r="G66" s="49">
        <v>1118</v>
      </c>
      <c r="H66" s="39"/>
      <c r="J66" s="45" t="s">
        <v>42</v>
      </c>
      <c r="K66" s="80">
        <v>65</v>
      </c>
      <c r="L66" s="80">
        <v>85</v>
      </c>
      <c r="M66" s="80">
        <v>99</v>
      </c>
      <c r="N66" s="80">
        <v>121</v>
      </c>
      <c r="O66" s="80">
        <v>390</v>
      </c>
    </row>
    <row r="67" spans="2:15" x14ac:dyDescent="0.45">
      <c r="B67" s="45" t="s">
        <v>42</v>
      </c>
      <c r="C67" s="50">
        <v>986</v>
      </c>
      <c r="D67" s="49">
        <v>1090</v>
      </c>
      <c r="E67" s="49">
        <v>1238</v>
      </c>
      <c r="F67" s="49">
        <v>1356</v>
      </c>
      <c r="G67" s="49">
        <v>1593</v>
      </c>
      <c r="H67" s="39"/>
      <c r="J67" s="45" t="s">
        <v>43</v>
      </c>
      <c r="K67" s="80">
        <v>866</v>
      </c>
      <c r="L67" s="74">
        <v>1643</v>
      </c>
      <c r="M67" s="74">
        <v>1775</v>
      </c>
      <c r="N67" s="74">
        <v>1940</v>
      </c>
      <c r="O67" s="74">
        <v>2579</v>
      </c>
    </row>
    <row r="68" spans="2:15" x14ac:dyDescent="0.45">
      <c r="B68" s="45" t="s">
        <v>43</v>
      </c>
      <c r="C68" s="49">
        <v>6932</v>
      </c>
      <c r="D68" s="49">
        <v>7046</v>
      </c>
      <c r="E68" s="49">
        <v>10625</v>
      </c>
      <c r="F68" s="49">
        <v>11589</v>
      </c>
      <c r="G68" s="49">
        <v>13723</v>
      </c>
      <c r="H68" s="38"/>
      <c r="J68" s="45" t="s">
        <v>44</v>
      </c>
      <c r="K68" s="80">
        <v>607</v>
      </c>
      <c r="L68" s="74">
        <v>1048</v>
      </c>
      <c r="M68" s="74">
        <v>1381</v>
      </c>
      <c r="N68" s="74">
        <v>1593</v>
      </c>
      <c r="O68" s="74">
        <v>2160</v>
      </c>
    </row>
    <row r="69" spans="2:15" ht="14.65" thickBot="1" x14ac:dyDescent="0.5">
      <c r="B69" s="45" t="s">
        <v>44</v>
      </c>
      <c r="C69" s="50">
        <v>937</v>
      </c>
      <c r="D69" s="50">
        <v>958</v>
      </c>
      <c r="E69" s="49">
        <v>1084</v>
      </c>
      <c r="F69" s="49">
        <v>1202</v>
      </c>
      <c r="G69" s="49">
        <v>1454</v>
      </c>
      <c r="H69" s="39"/>
      <c r="J69" s="45" t="s">
        <v>45</v>
      </c>
      <c r="K69" s="74">
        <v>8042</v>
      </c>
      <c r="L69" s="74">
        <v>10469</v>
      </c>
      <c r="M69" s="74">
        <v>10820</v>
      </c>
      <c r="N69" s="74">
        <v>11761</v>
      </c>
      <c r="O69" s="74">
        <v>14168</v>
      </c>
    </row>
    <row r="70" spans="2:15" x14ac:dyDescent="0.45">
      <c r="B70" s="47" t="s">
        <v>45</v>
      </c>
      <c r="C70" s="44">
        <v>42658</v>
      </c>
      <c r="D70" s="44">
        <v>48526</v>
      </c>
      <c r="E70" s="44">
        <v>52090</v>
      </c>
      <c r="F70" s="44">
        <v>56462</v>
      </c>
      <c r="G70" s="44">
        <v>66143</v>
      </c>
      <c r="H70" s="83"/>
      <c r="J70" s="45" t="s">
        <v>46</v>
      </c>
      <c r="K70" s="74">
        <v>3821</v>
      </c>
      <c r="L70" s="74">
        <v>4494</v>
      </c>
      <c r="M70" s="74">
        <v>5072</v>
      </c>
      <c r="N70" s="74">
        <v>5870</v>
      </c>
      <c r="O70" s="74">
        <v>6524</v>
      </c>
    </row>
    <row r="71" spans="2:15" x14ac:dyDescent="0.45">
      <c r="B71" s="45" t="s">
        <v>46</v>
      </c>
      <c r="C71" s="49">
        <v>21278</v>
      </c>
      <c r="D71" s="49">
        <v>22508</v>
      </c>
      <c r="E71" s="49">
        <v>24950</v>
      </c>
      <c r="F71" s="49">
        <v>28333</v>
      </c>
      <c r="G71" s="49">
        <v>31506</v>
      </c>
      <c r="H71" s="39"/>
      <c r="J71" s="52" t="s">
        <v>47</v>
      </c>
      <c r="K71" s="74">
        <v>1041</v>
      </c>
      <c r="L71" s="80">
        <v>552</v>
      </c>
      <c r="M71" s="80">
        <v>743</v>
      </c>
      <c r="N71" s="74">
        <v>1033</v>
      </c>
      <c r="O71" s="74">
        <v>1465</v>
      </c>
    </row>
    <row r="72" spans="2:15" x14ac:dyDescent="0.45">
      <c r="B72" s="52" t="s">
        <v>47</v>
      </c>
      <c r="C72" s="49">
        <v>7873</v>
      </c>
      <c r="D72" s="49">
        <v>6703</v>
      </c>
      <c r="E72" s="49">
        <v>3969</v>
      </c>
      <c r="F72" s="49">
        <v>8039</v>
      </c>
      <c r="G72" s="49">
        <v>8298</v>
      </c>
      <c r="H72" s="38"/>
      <c r="J72" s="52" t="s">
        <v>48</v>
      </c>
      <c r="K72" s="80">
        <v>468</v>
      </c>
      <c r="L72" s="80">
        <v>605</v>
      </c>
      <c r="M72" s="80">
        <v>967</v>
      </c>
      <c r="N72" s="74">
        <v>1123</v>
      </c>
      <c r="O72" s="74">
        <v>1247</v>
      </c>
    </row>
    <row r="73" spans="2:15" ht="14.65" thickBot="1" x14ac:dyDescent="0.5">
      <c r="B73" s="52" t="s">
        <v>48</v>
      </c>
      <c r="C73" s="49">
        <v>28778</v>
      </c>
      <c r="D73" s="49">
        <v>30060</v>
      </c>
      <c r="E73" s="49">
        <v>35272</v>
      </c>
      <c r="F73" s="49">
        <v>35208</v>
      </c>
      <c r="G73" s="49">
        <v>41309</v>
      </c>
      <c r="H73" s="38"/>
      <c r="J73" s="52" t="s">
        <v>49</v>
      </c>
      <c r="K73" s="74">
        <v>16135</v>
      </c>
      <c r="L73" s="74">
        <v>19788</v>
      </c>
      <c r="M73" s="74">
        <v>27566</v>
      </c>
      <c r="N73" s="74">
        <v>33977</v>
      </c>
      <c r="O73" s="74">
        <v>37294</v>
      </c>
    </row>
    <row r="74" spans="2:15" x14ac:dyDescent="0.45">
      <c r="B74" s="43" t="s">
        <v>116</v>
      </c>
      <c r="C74" s="44">
        <v>106938</v>
      </c>
      <c r="D74" s="44">
        <v>109607</v>
      </c>
      <c r="E74" s="44">
        <v>137902</v>
      </c>
      <c r="F74" s="44">
        <v>163345</v>
      </c>
      <c r="G74" s="44">
        <v>191771</v>
      </c>
      <c r="H74" s="82"/>
      <c r="J74" s="45" t="s">
        <v>50</v>
      </c>
      <c r="K74" s="74">
        <v>1367</v>
      </c>
      <c r="L74" s="74">
        <v>1642</v>
      </c>
      <c r="M74" s="74">
        <v>1922</v>
      </c>
      <c r="N74" s="74">
        <v>2248</v>
      </c>
      <c r="O74" s="74">
        <v>2417</v>
      </c>
    </row>
    <row r="75" spans="2:15" ht="14.65" thickBot="1" x14ac:dyDescent="0.5">
      <c r="B75" s="45" t="s">
        <v>50</v>
      </c>
      <c r="C75" s="49">
        <v>9615</v>
      </c>
      <c r="D75" s="49">
        <v>11596</v>
      </c>
      <c r="E75" s="49">
        <v>16855</v>
      </c>
      <c r="F75" s="49">
        <v>18590</v>
      </c>
      <c r="G75" s="49">
        <v>20331</v>
      </c>
      <c r="H75" s="38"/>
      <c r="J75" s="45" t="s">
        <v>100</v>
      </c>
      <c r="K75" s="74">
        <v>1029</v>
      </c>
      <c r="L75" s="74">
        <v>1177</v>
      </c>
      <c r="M75" s="74">
        <v>1256</v>
      </c>
      <c r="N75" s="74">
        <v>1839</v>
      </c>
      <c r="O75" s="74">
        <v>1717</v>
      </c>
    </row>
    <row r="76" spans="2:15" x14ac:dyDescent="0.45">
      <c r="B76" s="47" t="s">
        <v>117</v>
      </c>
      <c r="C76" s="44">
        <v>6008</v>
      </c>
      <c r="D76" s="44">
        <v>6374</v>
      </c>
      <c r="E76" s="44">
        <v>7028</v>
      </c>
      <c r="F76" s="44">
        <v>7459</v>
      </c>
      <c r="G76" s="44">
        <v>8280</v>
      </c>
      <c r="H76" s="82"/>
      <c r="J76" s="45" t="s">
        <v>101</v>
      </c>
      <c r="K76" s="80">
        <v>0</v>
      </c>
      <c r="L76" s="80">
        <v>0</v>
      </c>
      <c r="M76" s="80">
        <v>0</v>
      </c>
      <c r="N76" s="80">
        <v>678</v>
      </c>
      <c r="O76" s="80">
        <v>543</v>
      </c>
    </row>
    <row r="77" spans="2:15" x14ac:dyDescent="0.45">
      <c r="B77" s="45" t="s">
        <v>101</v>
      </c>
      <c r="C77" s="50">
        <v>0</v>
      </c>
      <c r="D77" s="50">
        <v>0</v>
      </c>
      <c r="E77" s="50">
        <v>0</v>
      </c>
      <c r="F77" s="49">
        <v>1162</v>
      </c>
      <c r="G77" s="49">
        <v>1062</v>
      </c>
      <c r="H77" s="39"/>
      <c r="J77" s="45" t="s">
        <v>102</v>
      </c>
      <c r="K77" s="74">
        <v>1073</v>
      </c>
      <c r="L77" s="74">
        <v>1230</v>
      </c>
      <c r="M77" s="74">
        <v>1306</v>
      </c>
      <c r="N77" s="74">
        <v>1210</v>
      </c>
      <c r="O77" s="74">
        <v>1217</v>
      </c>
    </row>
    <row r="78" spans="2:15" x14ac:dyDescent="0.45">
      <c r="B78" s="45" t="s">
        <v>102</v>
      </c>
      <c r="C78" s="49">
        <v>6415</v>
      </c>
      <c r="D78" s="49">
        <v>6775</v>
      </c>
      <c r="E78" s="49">
        <v>7377</v>
      </c>
      <c r="F78" s="49">
        <v>6712</v>
      </c>
      <c r="G78" s="49">
        <v>7694</v>
      </c>
      <c r="H78" s="39"/>
      <c r="J78" s="45" t="s">
        <v>103</v>
      </c>
      <c r="K78" s="80">
        <v>-43</v>
      </c>
      <c r="L78" s="80">
        <v>-53</v>
      </c>
      <c r="M78" s="80">
        <v>-49</v>
      </c>
      <c r="N78" s="80">
        <v>-48</v>
      </c>
      <c r="O78" s="80">
        <v>-44</v>
      </c>
    </row>
    <row r="79" spans="2:15" x14ac:dyDescent="0.45">
      <c r="B79" s="45" t="s">
        <v>103</v>
      </c>
      <c r="C79" s="50">
        <v>-407</v>
      </c>
      <c r="D79" s="50">
        <v>-401</v>
      </c>
      <c r="E79" s="50">
        <v>-348</v>
      </c>
      <c r="F79" s="50">
        <v>-414</v>
      </c>
      <c r="G79" s="50">
        <v>-477</v>
      </c>
      <c r="H79" s="39"/>
      <c r="J79" s="45" t="s">
        <v>52</v>
      </c>
      <c r="K79" s="74">
        <v>1657</v>
      </c>
      <c r="L79" s="74">
        <v>1536</v>
      </c>
      <c r="M79" s="74">
        <v>1879</v>
      </c>
      <c r="N79" s="74">
        <v>2426</v>
      </c>
      <c r="O79" s="74">
        <v>4386</v>
      </c>
    </row>
    <row r="80" spans="2:15" x14ac:dyDescent="0.45">
      <c r="B80" s="45" t="s">
        <v>52</v>
      </c>
      <c r="C80" s="49">
        <v>12852</v>
      </c>
      <c r="D80" s="49">
        <v>11118</v>
      </c>
      <c r="E80" s="49">
        <v>11273</v>
      </c>
      <c r="F80" s="49">
        <v>12013</v>
      </c>
      <c r="G80" s="49">
        <v>20615</v>
      </c>
      <c r="H80" s="38"/>
      <c r="J80" s="45" t="s">
        <v>53</v>
      </c>
      <c r="K80" s="74">
        <v>6006</v>
      </c>
      <c r="L80" s="74">
        <v>7553</v>
      </c>
      <c r="M80" s="74">
        <v>10537</v>
      </c>
      <c r="N80" s="74">
        <v>13874</v>
      </c>
      <c r="O80" s="74">
        <v>15458</v>
      </c>
    </row>
    <row r="81" spans="2:15" x14ac:dyDescent="0.45">
      <c r="B81" s="45" t="s">
        <v>53</v>
      </c>
      <c r="C81" s="49">
        <v>29080</v>
      </c>
      <c r="D81" s="49">
        <v>29242</v>
      </c>
      <c r="E81" s="49">
        <v>34685</v>
      </c>
      <c r="F81" s="49">
        <v>39060</v>
      </c>
      <c r="G81" s="49">
        <v>44645</v>
      </c>
      <c r="H81" s="38"/>
      <c r="J81" s="45" t="s">
        <v>54</v>
      </c>
      <c r="K81" s="74">
        <v>6076</v>
      </c>
      <c r="L81" s="74">
        <v>7880</v>
      </c>
      <c r="M81" s="74">
        <v>11972</v>
      </c>
      <c r="N81" s="74">
        <v>13590</v>
      </c>
      <c r="O81" s="74">
        <v>13316</v>
      </c>
    </row>
    <row r="82" spans="2:15" ht="14.65" thickBot="1" x14ac:dyDescent="0.5">
      <c r="B82" s="45" t="s">
        <v>54</v>
      </c>
      <c r="C82" s="49">
        <v>49383</v>
      </c>
      <c r="D82" s="49">
        <v>51277</v>
      </c>
      <c r="E82" s="49">
        <v>68061</v>
      </c>
      <c r="F82" s="49">
        <v>86222</v>
      </c>
      <c r="G82" s="49">
        <v>97900</v>
      </c>
      <c r="H82" s="38"/>
      <c r="J82" s="52" t="s">
        <v>55</v>
      </c>
      <c r="K82" s="74">
        <v>21865</v>
      </c>
      <c r="L82" s="74">
        <v>26919</v>
      </c>
      <c r="M82" s="74">
        <v>35025</v>
      </c>
      <c r="N82" s="74">
        <v>42024</v>
      </c>
      <c r="O82" s="74">
        <v>47651</v>
      </c>
    </row>
    <row r="83" spans="2:15" x14ac:dyDescent="0.45">
      <c r="B83" s="43" t="s">
        <v>55</v>
      </c>
      <c r="C83" s="44">
        <v>164968</v>
      </c>
      <c r="D83" s="44">
        <v>172388</v>
      </c>
      <c r="E83" s="44">
        <v>204283</v>
      </c>
      <c r="F83" s="44">
        <v>234722</v>
      </c>
      <c r="G83" s="44">
        <v>276013</v>
      </c>
      <c r="H83" s="8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B0BA0-266F-4E2E-8D19-FFA2FB8BFF18}">
  <dimension ref="B2:R60"/>
  <sheetViews>
    <sheetView topLeftCell="A31" workbookViewId="0">
      <selection activeCell="I28" sqref="I28"/>
    </sheetView>
  </sheetViews>
  <sheetFormatPr defaultColWidth="8.796875" defaultRowHeight="14.25" x14ac:dyDescent="0.45"/>
  <cols>
    <col min="2" max="2" width="20.796875" bestFit="1" customWidth="1"/>
    <col min="3" max="7" width="9.796875" bestFit="1" customWidth="1"/>
    <col min="11" max="11" width="22.46484375" bestFit="1" customWidth="1"/>
    <col min="12" max="13" width="9.796875" bestFit="1" customWidth="1"/>
    <col min="14" max="16" width="10.6640625" bestFit="1" customWidth="1"/>
  </cols>
  <sheetData>
    <row r="2" spans="2:18" x14ac:dyDescent="0.45">
      <c r="D2" s="120" t="s">
        <v>122</v>
      </c>
      <c r="M2" s="120" t="s">
        <v>127</v>
      </c>
    </row>
    <row r="3" spans="2:18" ht="14.65" thickBot="1" x14ac:dyDescent="0.5">
      <c r="B3" s="41"/>
      <c r="C3" s="42">
        <v>44256</v>
      </c>
      <c r="D3" s="42">
        <v>44621</v>
      </c>
      <c r="E3" s="42">
        <v>44986</v>
      </c>
      <c r="F3" s="42">
        <v>45352</v>
      </c>
      <c r="G3" s="42">
        <v>45717</v>
      </c>
      <c r="H3" s="89"/>
      <c r="K3" s="41"/>
      <c r="L3" s="101">
        <v>44256</v>
      </c>
      <c r="M3" s="101">
        <v>44621</v>
      </c>
      <c r="N3" s="101">
        <v>44986</v>
      </c>
      <c r="O3" s="101">
        <v>45352</v>
      </c>
      <c r="P3" s="101">
        <v>45717</v>
      </c>
      <c r="Q3" s="95"/>
      <c r="R3" s="96"/>
    </row>
    <row r="4" spans="2:18" x14ac:dyDescent="0.45">
      <c r="B4" s="43" t="s">
        <v>106</v>
      </c>
      <c r="C4" s="44">
        <v>100472</v>
      </c>
      <c r="D4" s="44">
        <v>121641</v>
      </c>
      <c r="E4" s="44">
        <v>146767</v>
      </c>
      <c r="F4" s="44">
        <v>153670</v>
      </c>
      <c r="G4" s="44">
        <v>162990</v>
      </c>
      <c r="H4" s="82"/>
      <c r="K4" s="102" t="s">
        <v>123</v>
      </c>
      <c r="L4" s="103">
        <v>164177</v>
      </c>
      <c r="M4" s="103">
        <v>191754</v>
      </c>
      <c r="N4" s="103">
        <v>225458</v>
      </c>
      <c r="O4" s="103">
        <v>240893</v>
      </c>
      <c r="P4" s="103">
        <v>255324</v>
      </c>
      <c r="Q4" s="97"/>
    </row>
    <row r="5" spans="2:18" ht="14.65" thickBot="1" x14ac:dyDescent="0.5">
      <c r="B5" s="45" t="s">
        <v>2</v>
      </c>
      <c r="C5" s="46">
        <v>0.1066</v>
      </c>
      <c r="D5" s="46">
        <v>0.2107</v>
      </c>
      <c r="E5" s="46">
        <v>0.20660000000000001</v>
      </c>
      <c r="F5" s="46">
        <v>4.7E-2</v>
      </c>
      <c r="G5" s="46">
        <v>6.0600000000000001E-2</v>
      </c>
      <c r="H5" s="39"/>
      <c r="K5" s="104" t="s">
        <v>2</v>
      </c>
      <c r="L5" s="105">
        <v>4.6100000000000002E-2</v>
      </c>
      <c r="M5" s="105">
        <v>0.16800000000000001</v>
      </c>
      <c r="N5" s="105">
        <v>0.17580000000000001</v>
      </c>
      <c r="O5" s="105">
        <v>6.8500000000000005E-2</v>
      </c>
      <c r="P5" s="105">
        <v>5.9900000000000002E-2</v>
      </c>
      <c r="Q5" s="98"/>
    </row>
    <row r="6" spans="2:18" x14ac:dyDescent="0.45">
      <c r="B6" s="43" t="s">
        <v>107</v>
      </c>
      <c r="C6" s="44">
        <v>72583</v>
      </c>
      <c r="D6" s="44">
        <v>90150</v>
      </c>
      <c r="E6" s="44">
        <v>111637</v>
      </c>
      <c r="F6" s="44">
        <v>117245</v>
      </c>
      <c r="G6" s="44">
        <v>123754</v>
      </c>
      <c r="H6" s="82"/>
      <c r="K6" s="106" t="s">
        <v>124</v>
      </c>
      <c r="L6" s="103">
        <v>117631</v>
      </c>
      <c r="M6" s="103">
        <v>138697</v>
      </c>
      <c r="N6" s="103">
        <v>166199</v>
      </c>
      <c r="O6" s="103">
        <v>176597</v>
      </c>
      <c r="P6" s="103">
        <v>187917</v>
      </c>
      <c r="Q6" s="97"/>
    </row>
    <row r="7" spans="2:18" x14ac:dyDescent="0.45">
      <c r="B7" s="45" t="s">
        <v>5</v>
      </c>
      <c r="C7" s="51">
        <v>0.13</v>
      </c>
      <c r="D7" s="51">
        <v>0.17</v>
      </c>
      <c r="E7" s="51">
        <v>0.18</v>
      </c>
      <c r="F7" s="51">
        <v>0.18</v>
      </c>
      <c r="G7" s="51">
        <v>0.19</v>
      </c>
      <c r="H7" s="39"/>
      <c r="K7" s="107" t="s">
        <v>125</v>
      </c>
      <c r="L7" s="108">
        <v>0</v>
      </c>
      <c r="M7" s="108">
        <v>0</v>
      </c>
      <c r="N7" s="108">
        <v>0</v>
      </c>
      <c r="O7" s="108">
        <v>0</v>
      </c>
      <c r="P7" s="108">
        <v>0</v>
      </c>
      <c r="Q7" s="98"/>
    </row>
    <row r="8" spans="2:18" x14ac:dyDescent="0.45">
      <c r="B8" s="45" t="s">
        <v>6</v>
      </c>
      <c r="C8" s="51">
        <v>0.55000000000000004</v>
      </c>
      <c r="D8" s="51">
        <v>0.53</v>
      </c>
      <c r="E8" s="51">
        <v>0.53</v>
      </c>
      <c r="F8" s="51">
        <v>0.54</v>
      </c>
      <c r="G8" s="51">
        <v>0.53</v>
      </c>
      <c r="H8" s="39"/>
      <c r="K8" s="107" t="s">
        <v>5</v>
      </c>
      <c r="L8" s="108">
        <v>0.01</v>
      </c>
      <c r="M8" s="108">
        <v>0.01</v>
      </c>
      <c r="N8" s="108">
        <v>0.01</v>
      </c>
      <c r="O8" s="108">
        <v>0.02</v>
      </c>
      <c r="P8" s="108">
        <v>0.05</v>
      </c>
      <c r="Q8" s="98"/>
    </row>
    <row r="9" spans="2:18" ht="14.65" thickBot="1" x14ac:dyDescent="0.5">
      <c r="B9" s="45" t="s">
        <v>7</v>
      </c>
      <c r="C9" s="51">
        <v>0.04</v>
      </c>
      <c r="D9" s="51">
        <v>0.04</v>
      </c>
      <c r="E9" s="51">
        <v>0.05</v>
      </c>
      <c r="F9" s="51">
        <v>0.05</v>
      </c>
      <c r="G9" s="51">
        <v>0.04</v>
      </c>
      <c r="H9" s="39"/>
      <c r="K9" s="107" t="s">
        <v>6</v>
      </c>
      <c r="L9" s="108">
        <v>0.56000000000000005</v>
      </c>
      <c r="M9" s="108">
        <v>0.56000000000000005</v>
      </c>
      <c r="N9" s="108">
        <v>0.56999999999999995</v>
      </c>
      <c r="O9" s="108">
        <v>0.57999999999999996</v>
      </c>
      <c r="P9" s="108">
        <v>0.56999999999999995</v>
      </c>
      <c r="Q9" s="98"/>
    </row>
    <row r="10" spans="2:18" ht="14.65" thickBot="1" x14ac:dyDescent="0.5">
      <c r="B10" s="43" t="s">
        <v>8</v>
      </c>
      <c r="C10" s="44">
        <v>27889</v>
      </c>
      <c r="D10" s="44">
        <v>31491</v>
      </c>
      <c r="E10" s="44">
        <v>35130</v>
      </c>
      <c r="F10" s="44">
        <v>36425</v>
      </c>
      <c r="G10" s="44">
        <v>39236</v>
      </c>
      <c r="H10" s="82"/>
      <c r="K10" s="107" t="s">
        <v>7</v>
      </c>
      <c r="L10" s="108">
        <v>0.15</v>
      </c>
      <c r="M10" s="108">
        <v>0.16</v>
      </c>
      <c r="N10" s="108">
        <v>0.16</v>
      </c>
      <c r="O10" s="108">
        <v>0.14000000000000001</v>
      </c>
      <c r="P10" s="108">
        <v>0.12</v>
      </c>
      <c r="Q10" s="98"/>
    </row>
    <row r="11" spans="2:18" ht="14.65" thickBot="1" x14ac:dyDescent="0.5">
      <c r="B11" s="52" t="s">
        <v>9</v>
      </c>
      <c r="C11" s="51">
        <v>0.28000000000000003</v>
      </c>
      <c r="D11" s="51">
        <v>0.26</v>
      </c>
      <c r="E11" s="51">
        <v>0.24</v>
      </c>
      <c r="F11" s="51">
        <v>0.24</v>
      </c>
      <c r="G11" s="51">
        <v>0.24</v>
      </c>
      <c r="H11" s="40"/>
      <c r="K11" s="102" t="s">
        <v>8</v>
      </c>
      <c r="L11" s="103">
        <v>46546</v>
      </c>
      <c r="M11" s="103">
        <v>53057</v>
      </c>
      <c r="N11" s="103">
        <v>59259</v>
      </c>
      <c r="O11" s="103">
        <v>64296</v>
      </c>
      <c r="P11" s="103">
        <v>67407</v>
      </c>
      <c r="Q11" s="97"/>
    </row>
    <row r="12" spans="2:18" ht="14.65" thickBot="1" x14ac:dyDescent="0.5">
      <c r="B12" s="43" t="s">
        <v>109</v>
      </c>
      <c r="C12" s="44">
        <v>2201</v>
      </c>
      <c r="D12" s="44">
        <v>2295</v>
      </c>
      <c r="E12" s="44">
        <v>2701</v>
      </c>
      <c r="F12" s="44">
        <v>4711</v>
      </c>
      <c r="G12" s="44">
        <v>3600</v>
      </c>
      <c r="H12" s="82"/>
      <c r="K12" s="106" t="s">
        <v>9</v>
      </c>
      <c r="L12" s="108">
        <v>0.28000000000000003</v>
      </c>
      <c r="M12" s="108">
        <v>0.28000000000000003</v>
      </c>
      <c r="N12" s="108">
        <v>0.26</v>
      </c>
      <c r="O12" s="108">
        <v>0.27</v>
      </c>
      <c r="P12" s="108">
        <v>0.26</v>
      </c>
      <c r="Q12" s="99"/>
    </row>
    <row r="13" spans="2:18" x14ac:dyDescent="0.45">
      <c r="B13" s="45" t="s">
        <v>11</v>
      </c>
      <c r="C13" s="50">
        <v>74</v>
      </c>
      <c r="D13" s="50">
        <v>177</v>
      </c>
      <c r="E13" s="50">
        <v>148</v>
      </c>
      <c r="F13" s="50">
        <v>285</v>
      </c>
      <c r="G13" s="50">
        <v>291</v>
      </c>
      <c r="H13" s="39"/>
      <c r="K13" s="102" t="s">
        <v>126</v>
      </c>
      <c r="L13" s="103">
        <v>1916</v>
      </c>
      <c r="M13" s="103">
        <v>4018</v>
      </c>
      <c r="N13" s="103">
        <v>3449</v>
      </c>
      <c r="O13" s="103">
        <v>3464</v>
      </c>
      <c r="P13" s="103">
        <v>3962</v>
      </c>
      <c r="Q13" s="97"/>
    </row>
    <row r="14" spans="2:18" x14ac:dyDescent="0.45">
      <c r="B14" s="45" t="s">
        <v>12</v>
      </c>
      <c r="C14" s="49">
        <v>2127</v>
      </c>
      <c r="D14" s="49">
        <v>2118</v>
      </c>
      <c r="E14" s="49">
        <v>2553</v>
      </c>
      <c r="F14" s="49">
        <v>4426</v>
      </c>
      <c r="G14" s="49">
        <v>3309</v>
      </c>
      <c r="H14" s="39"/>
      <c r="K14" s="104" t="s">
        <v>11</v>
      </c>
      <c r="L14" s="103">
        <v>-1205</v>
      </c>
      <c r="M14" s="109">
        <v>23</v>
      </c>
      <c r="N14" s="109">
        <v>30</v>
      </c>
      <c r="O14" s="109">
        <v>-933</v>
      </c>
      <c r="P14" s="109">
        <v>46</v>
      </c>
      <c r="Q14" s="98"/>
    </row>
    <row r="15" spans="2:18" x14ac:dyDescent="0.45">
      <c r="B15" s="52" t="s">
        <v>13</v>
      </c>
      <c r="C15" s="50">
        <v>195</v>
      </c>
      <c r="D15" s="50">
        <v>200</v>
      </c>
      <c r="E15" s="50">
        <v>284</v>
      </c>
      <c r="F15" s="50">
        <v>470</v>
      </c>
      <c r="G15" s="50">
        <v>416</v>
      </c>
      <c r="H15" s="39"/>
      <c r="K15" s="104" t="s">
        <v>12</v>
      </c>
      <c r="L15" s="103">
        <v>3121</v>
      </c>
      <c r="M15" s="103">
        <v>3995</v>
      </c>
      <c r="N15" s="103">
        <v>3419</v>
      </c>
      <c r="O15" s="103">
        <v>4397</v>
      </c>
      <c r="P15" s="103">
        <v>3916</v>
      </c>
      <c r="Q15" s="98"/>
    </row>
    <row r="16" spans="2:18" ht="14.65" thickBot="1" x14ac:dyDescent="0.5">
      <c r="B16" s="52" t="s">
        <v>14</v>
      </c>
      <c r="C16" s="49">
        <v>3267</v>
      </c>
      <c r="D16" s="49">
        <v>3476</v>
      </c>
      <c r="E16" s="49">
        <v>4225</v>
      </c>
      <c r="F16" s="49">
        <v>4678</v>
      </c>
      <c r="G16" s="49">
        <v>4812</v>
      </c>
      <c r="H16" s="38"/>
      <c r="K16" s="106" t="s">
        <v>13</v>
      </c>
      <c r="L16" s="109">
        <v>637</v>
      </c>
      <c r="M16" s="109">
        <v>784</v>
      </c>
      <c r="N16" s="109">
        <v>779</v>
      </c>
      <c r="O16" s="109">
        <v>778</v>
      </c>
      <c r="P16" s="109">
        <v>796</v>
      </c>
      <c r="Q16" s="98"/>
    </row>
    <row r="17" spans="2:17" ht="14.65" thickBot="1" x14ac:dyDescent="0.5">
      <c r="B17" s="43" t="s">
        <v>15</v>
      </c>
      <c r="C17" s="44">
        <v>26628</v>
      </c>
      <c r="D17" s="44">
        <v>30110</v>
      </c>
      <c r="E17" s="44">
        <v>33322</v>
      </c>
      <c r="F17" s="44">
        <v>35988</v>
      </c>
      <c r="G17" s="44">
        <v>37608</v>
      </c>
      <c r="H17" s="82"/>
      <c r="K17" s="102" t="s">
        <v>14</v>
      </c>
      <c r="L17" s="103">
        <v>4065</v>
      </c>
      <c r="M17" s="103">
        <v>4604</v>
      </c>
      <c r="N17" s="103">
        <v>5022</v>
      </c>
      <c r="O17" s="103">
        <v>4985</v>
      </c>
      <c r="P17" s="103">
        <v>5242</v>
      </c>
      <c r="Q17" s="100"/>
    </row>
    <row r="18" spans="2:17" ht="14.65" thickBot="1" x14ac:dyDescent="0.5">
      <c r="B18" s="52" t="s">
        <v>16</v>
      </c>
      <c r="C18" s="51">
        <v>0.27</v>
      </c>
      <c r="D18" s="51">
        <v>0.26</v>
      </c>
      <c r="E18" s="51">
        <v>0.28000000000000003</v>
      </c>
      <c r="F18" s="51">
        <v>0.27</v>
      </c>
      <c r="G18" s="51">
        <v>0.28999999999999998</v>
      </c>
      <c r="H18" s="39"/>
      <c r="K18" s="106" t="s">
        <v>15</v>
      </c>
      <c r="L18" s="103">
        <v>43760</v>
      </c>
      <c r="M18" s="103">
        <v>51687</v>
      </c>
      <c r="N18" s="103">
        <v>56907</v>
      </c>
      <c r="O18" s="103">
        <v>61997</v>
      </c>
      <c r="P18" s="103">
        <v>65331</v>
      </c>
      <c r="Q18" s="97"/>
    </row>
    <row r="19" spans="2:17" ht="14.65" thickBot="1" x14ac:dyDescent="0.5">
      <c r="B19" s="43" t="s">
        <v>110</v>
      </c>
      <c r="C19" s="44">
        <v>19423</v>
      </c>
      <c r="D19" s="44">
        <v>22146</v>
      </c>
      <c r="E19" s="44">
        <v>24108</v>
      </c>
      <c r="F19" s="44">
        <v>26248</v>
      </c>
      <c r="G19" s="44">
        <v>26750</v>
      </c>
      <c r="H19" s="82"/>
      <c r="K19" s="102" t="s">
        <v>16</v>
      </c>
      <c r="L19" s="108">
        <v>0.26</v>
      </c>
      <c r="M19" s="108">
        <v>0.26</v>
      </c>
      <c r="N19" s="108">
        <v>0.26</v>
      </c>
      <c r="O19" s="108">
        <v>0.26</v>
      </c>
      <c r="P19" s="108">
        <v>0.25</v>
      </c>
      <c r="Q19" s="98"/>
    </row>
    <row r="20" spans="2:17" x14ac:dyDescent="0.45">
      <c r="B20" s="45" t="s">
        <v>96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H20" s="39"/>
      <c r="K20" s="106" t="s">
        <v>17</v>
      </c>
      <c r="L20" s="103">
        <v>32562</v>
      </c>
      <c r="M20" s="103">
        <v>38449</v>
      </c>
      <c r="N20" s="103">
        <v>42303</v>
      </c>
      <c r="O20" s="103">
        <v>46099</v>
      </c>
      <c r="P20" s="103">
        <v>48797</v>
      </c>
      <c r="Q20" s="97"/>
    </row>
    <row r="21" spans="2:17" x14ac:dyDescent="0.45">
      <c r="B21" s="45" t="s">
        <v>97</v>
      </c>
      <c r="C21" s="50">
        <v>-72</v>
      </c>
      <c r="D21" s="50">
        <v>-36</v>
      </c>
      <c r="E21" s="50">
        <v>-13</v>
      </c>
      <c r="F21" s="50">
        <v>-15</v>
      </c>
      <c r="G21" s="50">
        <v>-37</v>
      </c>
      <c r="H21" s="39"/>
      <c r="K21" s="107" t="s">
        <v>97</v>
      </c>
      <c r="L21" s="109">
        <v>-132</v>
      </c>
      <c r="M21" s="109">
        <v>-122</v>
      </c>
      <c r="N21" s="109">
        <v>-156</v>
      </c>
      <c r="O21" s="109">
        <v>-191</v>
      </c>
      <c r="P21" s="109">
        <v>-244</v>
      </c>
      <c r="Q21" s="98"/>
    </row>
    <row r="22" spans="2:17" x14ac:dyDescent="0.45">
      <c r="B22" s="45" t="s">
        <v>18</v>
      </c>
      <c r="C22" s="50">
        <v>54</v>
      </c>
      <c r="D22" s="50">
        <v>130</v>
      </c>
      <c r="E22" s="50">
        <v>107</v>
      </c>
      <c r="F22" s="50">
        <v>208</v>
      </c>
      <c r="G22" s="50">
        <v>197</v>
      </c>
      <c r="H22" s="39"/>
      <c r="K22" s="107" t="s">
        <v>18</v>
      </c>
      <c r="L22" s="109">
        <v>-882</v>
      </c>
      <c r="M22" s="109">
        <v>17</v>
      </c>
      <c r="N22" s="109">
        <v>22</v>
      </c>
      <c r="O22" s="109">
        <v>-688</v>
      </c>
      <c r="P22" s="109">
        <v>33</v>
      </c>
      <c r="Q22" s="98"/>
    </row>
    <row r="23" spans="2:17" x14ac:dyDescent="0.45">
      <c r="B23" s="45" t="s">
        <v>19</v>
      </c>
      <c r="C23" s="49">
        <v>19369</v>
      </c>
      <c r="D23" s="49">
        <v>22016</v>
      </c>
      <c r="E23" s="49">
        <v>24001</v>
      </c>
      <c r="F23" s="49">
        <v>26040</v>
      </c>
      <c r="G23" s="49">
        <v>26553</v>
      </c>
      <c r="H23" s="39"/>
      <c r="K23" s="107" t="s">
        <v>19</v>
      </c>
      <c r="L23" s="103">
        <v>33444</v>
      </c>
      <c r="M23" s="103">
        <v>38432</v>
      </c>
      <c r="N23" s="103">
        <v>42281</v>
      </c>
      <c r="O23" s="103">
        <v>46787</v>
      </c>
      <c r="P23" s="103">
        <v>48764</v>
      </c>
      <c r="Q23" s="98"/>
    </row>
    <row r="24" spans="2:17" x14ac:dyDescent="0.45">
      <c r="B24" s="45" t="s">
        <v>20</v>
      </c>
      <c r="C24" s="49">
        <v>19297</v>
      </c>
      <c r="D24" s="49">
        <v>21980</v>
      </c>
      <c r="E24" s="49">
        <v>23988</v>
      </c>
      <c r="F24" s="49">
        <v>26025</v>
      </c>
      <c r="G24" s="49">
        <v>26516</v>
      </c>
      <c r="H24" s="39"/>
      <c r="K24" s="107" t="s">
        <v>20</v>
      </c>
      <c r="L24" s="103">
        <v>33308</v>
      </c>
      <c r="M24" s="103">
        <v>38310</v>
      </c>
      <c r="N24" s="103">
        <v>42125</v>
      </c>
      <c r="O24" s="103">
        <v>46593</v>
      </c>
      <c r="P24" s="103">
        <v>48520</v>
      </c>
      <c r="Q24" s="98"/>
    </row>
    <row r="25" spans="2:17" x14ac:dyDescent="0.45">
      <c r="B25" s="45" t="s">
        <v>21</v>
      </c>
      <c r="C25" s="49">
        <v>19351</v>
      </c>
      <c r="D25" s="49">
        <v>22110</v>
      </c>
      <c r="E25" s="49">
        <v>24095</v>
      </c>
      <c r="F25" s="49">
        <v>26233</v>
      </c>
      <c r="G25" s="49">
        <v>26713</v>
      </c>
      <c r="H25" s="39"/>
      <c r="K25" s="107" t="s">
        <v>21</v>
      </c>
      <c r="L25" s="103">
        <v>32430</v>
      </c>
      <c r="M25" s="103">
        <v>38327</v>
      </c>
      <c r="N25" s="103">
        <v>42147</v>
      </c>
      <c r="O25" s="103">
        <v>45908</v>
      </c>
      <c r="P25" s="103">
        <v>48553</v>
      </c>
      <c r="Q25" s="98"/>
    </row>
    <row r="26" spans="2:17" x14ac:dyDescent="0.45">
      <c r="B26" s="52" t="s">
        <v>22</v>
      </c>
      <c r="C26" s="50">
        <v>45.42</v>
      </c>
      <c r="D26" s="50">
        <v>52.56</v>
      </c>
      <c r="E26" s="50">
        <v>58.08</v>
      </c>
      <c r="F26" s="50">
        <v>63.2</v>
      </c>
      <c r="G26" s="50">
        <v>64.319999999999993</v>
      </c>
      <c r="H26" s="39"/>
      <c r="K26" s="102" t="s">
        <v>22</v>
      </c>
      <c r="L26" s="109">
        <v>87.67</v>
      </c>
      <c r="M26" s="109">
        <v>104.75</v>
      </c>
      <c r="N26" s="109">
        <v>115.19</v>
      </c>
      <c r="O26" s="109">
        <v>126.88</v>
      </c>
      <c r="P26" s="109">
        <v>134.19999999999999</v>
      </c>
      <c r="Q26" s="98"/>
    </row>
    <row r="27" spans="2:17" x14ac:dyDescent="0.45">
      <c r="B27" s="52" t="s">
        <v>23</v>
      </c>
      <c r="C27" s="51">
        <v>0.59</v>
      </c>
      <c r="D27" s="51">
        <v>0.59</v>
      </c>
      <c r="E27" s="51">
        <v>0.57999999999999996</v>
      </c>
      <c r="F27" s="51">
        <v>0.73</v>
      </c>
      <c r="G27" s="51">
        <v>0.67</v>
      </c>
      <c r="H27" s="39"/>
      <c r="K27" s="106" t="s">
        <v>23</v>
      </c>
      <c r="L27" s="108">
        <v>0.43</v>
      </c>
      <c r="M27" s="108">
        <v>0.41</v>
      </c>
      <c r="N27" s="108">
        <v>1</v>
      </c>
      <c r="O27" s="108">
        <v>0.57999999999999996</v>
      </c>
      <c r="P27" s="108">
        <v>0.94</v>
      </c>
      <c r="Q27" s="98"/>
    </row>
    <row r="31" spans="2:17" x14ac:dyDescent="0.45">
      <c r="N31" t="s">
        <v>142</v>
      </c>
    </row>
    <row r="32" spans="2:17" x14ac:dyDescent="0.45">
      <c r="D32" t="s">
        <v>133</v>
      </c>
      <c r="K32" s="133"/>
      <c r="L32" s="134">
        <v>44256</v>
      </c>
      <c r="M32" s="134">
        <v>44621</v>
      </c>
      <c r="N32" s="134">
        <v>44986</v>
      </c>
      <c r="O32" s="134">
        <v>45352</v>
      </c>
      <c r="P32" s="134">
        <v>45717</v>
      </c>
    </row>
    <row r="33" spans="2:16" x14ac:dyDescent="0.45">
      <c r="B33" s="41"/>
      <c r="C33" s="121">
        <v>44256</v>
      </c>
      <c r="D33" s="121">
        <v>44621</v>
      </c>
      <c r="E33" s="121">
        <v>44986</v>
      </c>
      <c r="F33" s="121">
        <v>45352</v>
      </c>
      <c r="G33" s="121">
        <v>45717</v>
      </c>
      <c r="K33" s="135" t="s">
        <v>129</v>
      </c>
      <c r="L33" s="136">
        <v>75379</v>
      </c>
      <c r="M33" s="136">
        <v>85651</v>
      </c>
      <c r="N33" s="136">
        <v>101456</v>
      </c>
      <c r="O33" s="136">
        <v>109913</v>
      </c>
      <c r="P33" s="136">
        <v>117055</v>
      </c>
    </row>
    <row r="34" spans="2:16" x14ac:dyDescent="0.45">
      <c r="B34" s="122" t="s">
        <v>129</v>
      </c>
      <c r="C34" s="123">
        <v>61935</v>
      </c>
      <c r="D34" s="123">
        <v>79312</v>
      </c>
      <c r="E34" s="123">
        <v>90488</v>
      </c>
      <c r="F34" s="123">
        <v>89760</v>
      </c>
      <c r="G34" s="123">
        <v>89088</v>
      </c>
      <c r="K34" s="137" t="s">
        <v>2</v>
      </c>
      <c r="L34" s="138">
        <v>6.6500000000000004E-2</v>
      </c>
      <c r="M34" s="138">
        <v>0.1363</v>
      </c>
      <c r="N34" s="138">
        <v>0.1845</v>
      </c>
      <c r="O34" s="138">
        <v>8.3400000000000002E-2</v>
      </c>
      <c r="P34" s="138">
        <v>6.5000000000000002E-2</v>
      </c>
    </row>
    <row r="35" spans="2:16" x14ac:dyDescent="0.45">
      <c r="B35" s="92" t="s">
        <v>2</v>
      </c>
      <c r="C35" s="124">
        <v>1.2999999999999999E-2</v>
      </c>
      <c r="D35" s="124">
        <v>0.28060000000000002</v>
      </c>
      <c r="E35" s="124">
        <v>0.1409</v>
      </c>
      <c r="F35" s="124">
        <v>-8.0000000000000002E-3</v>
      </c>
      <c r="G35" s="124">
        <v>-7.4999999999999997E-3</v>
      </c>
      <c r="K35" s="135" t="s">
        <v>130</v>
      </c>
      <c r="L35" s="136">
        <v>55331</v>
      </c>
      <c r="M35" s="136">
        <v>65122</v>
      </c>
      <c r="N35" s="136">
        <v>78828</v>
      </c>
      <c r="O35" s="136">
        <v>85715</v>
      </c>
      <c r="P35" s="136">
        <v>91551</v>
      </c>
    </row>
    <row r="36" spans="2:16" x14ac:dyDescent="0.45">
      <c r="B36" s="125" t="s">
        <v>130</v>
      </c>
      <c r="C36" s="126">
        <v>47164</v>
      </c>
      <c r="D36" s="126">
        <v>62628</v>
      </c>
      <c r="E36" s="126">
        <v>73649</v>
      </c>
      <c r="F36" s="126">
        <v>73008</v>
      </c>
      <c r="G36" s="126">
        <v>71067</v>
      </c>
      <c r="K36" s="139" t="s">
        <v>141</v>
      </c>
      <c r="L36" s="140">
        <v>0.02</v>
      </c>
      <c r="M36" s="140">
        <v>0.02</v>
      </c>
      <c r="N36" s="140">
        <v>0.02</v>
      </c>
      <c r="O36" s="140">
        <v>0.02</v>
      </c>
      <c r="P36" s="140">
        <v>0.02</v>
      </c>
    </row>
    <row r="37" spans="2:16" x14ac:dyDescent="0.45">
      <c r="B37" s="94" t="s">
        <v>4</v>
      </c>
      <c r="C37" s="127">
        <v>0.01</v>
      </c>
      <c r="D37" s="127">
        <v>0.01</v>
      </c>
      <c r="E37" s="127">
        <v>0.01</v>
      </c>
      <c r="F37" s="127">
        <v>0</v>
      </c>
      <c r="G37" s="127">
        <v>0</v>
      </c>
      <c r="K37" s="137" t="s">
        <v>89</v>
      </c>
      <c r="L37" s="141">
        <v>1698</v>
      </c>
      <c r="M37" s="141">
        <v>1473</v>
      </c>
      <c r="N37" s="141">
        <v>2072</v>
      </c>
      <c r="O37" s="141">
        <v>1754</v>
      </c>
      <c r="P37" s="141">
        <v>1976</v>
      </c>
    </row>
    <row r="38" spans="2:16" x14ac:dyDescent="0.45">
      <c r="B38" s="94" t="s">
        <v>5</v>
      </c>
      <c r="C38" s="127">
        <v>0</v>
      </c>
      <c r="D38" s="127">
        <v>0.15</v>
      </c>
      <c r="E38" s="127">
        <v>0.15</v>
      </c>
      <c r="F38" s="127">
        <v>0.84</v>
      </c>
      <c r="G38" s="127">
        <v>0.83</v>
      </c>
      <c r="K38" s="137" t="s">
        <v>90</v>
      </c>
      <c r="L38" s="142">
        <v>-3</v>
      </c>
      <c r="M38" s="142">
        <v>-67</v>
      </c>
      <c r="N38" s="142">
        <v>-67</v>
      </c>
      <c r="O38" s="142">
        <v>43</v>
      </c>
      <c r="P38" s="142">
        <v>52</v>
      </c>
    </row>
    <row r="39" spans="2:16" x14ac:dyDescent="0.45">
      <c r="B39" s="94" t="s">
        <v>6</v>
      </c>
      <c r="C39" s="127">
        <v>0.54</v>
      </c>
      <c r="D39" s="127">
        <v>0.56999999999999995</v>
      </c>
      <c r="E39" s="127">
        <v>0.59</v>
      </c>
      <c r="F39" s="127">
        <v>0.61</v>
      </c>
      <c r="G39" s="127">
        <v>0.6</v>
      </c>
      <c r="K39" s="137" t="s">
        <v>5</v>
      </c>
      <c r="L39" s="143">
        <v>0.16</v>
      </c>
      <c r="M39" s="143">
        <v>0.17</v>
      </c>
      <c r="N39" s="143">
        <v>0.17</v>
      </c>
      <c r="O39" s="143">
        <v>0.15</v>
      </c>
      <c r="P39" s="143">
        <v>0.14000000000000001</v>
      </c>
    </row>
    <row r="40" spans="2:16" x14ac:dyDescent="0.45">
      <c r="B40" s="94" t="s">
        <v>7</v>
      </c>
      <c r="C40" s="127">
        <v>0.21</v>
      </c>
      <c r="D40" s="127">
        <v>0.06</v>
      </c>
      <c r="E40" s="127">
        <v>0.06</v>
      </c>
      <c r="F40" s="127">
        <v>-0.64</v>
      </c>
      <c r="G40" s="127">
        <v>-0.63</v>
      </c>
      <c r="K40" s="137" t="s">
        <v>6</v>
      </c>
      <c r="L40" s="143">
        <v>0.52</v>
      </c>
      <c r="M40" s="143">
        <v>0.54</v>
      </c>
      <c r="N40" s="143">
        <v>0.54</v>
      </c>
      <c r="O40" s="143">
        <v>0.56999999999999995</v>
      </c>
      <c r="P40" s="143">
        <v>0.56999999999999995</v>
      </c>
    </row>
    <row r="41" spans="2:16" x14ac:dyDescent="0.45">
      <c r="B41" s="122" t="s">
        <v>8</v>
      </c>
      <c r="C41" s="123">
        <v>14771</v>
      </c>
      <c r="D41" s="123">
        <v>16684</v>
      </c>
      <c r="E41" s="123">
        <v>16839</v>
      </c>
      <c r="F41" s="123">
        <v>16752</v>
      </c>
      <c r="G41" s="123">
        <v>18021</v>
      </c>
      <c r="K41" s="137" t="s">
        <v>7</v>
      </c>
      <c r="L41" s="143">
        <v>0.03</v>
      </c>
      <c r="M41" s="143">
        <v>0.03</v>
      </c>
      <c r="N41" s="143">
        <v>0.04</v>
      </c>
      <c r="O41" s="143">
        <v>0.04</v>
      </c>
      <c r="P41" s="143">
        <v>0.05</v>
      </c>
    </row>
    <row r="42" spans="2:16" x14ac:dyDescent="0.45">
      <c r="B42" s="113" t="s">
        <v>9</v>
      </c>
      <c r="C42" s="127">
        <v>0.24</v>
      </c>
      <c r="D42" s="127">
        <v>0.21</v>
      </c>
      <c r="E42" s="127">
        <v>0.19</v>
      </c>
      <c r="F42" s="127">
        <v>0.19</v>
      </c>
      <c r="G42" s="127">
        <v>0.2</v>
      </c>
      <c r="K42" s="135" t="s">
        <v>8</v>
      </c>
      <c r="L42" s="136">
        <v>20048</v>
      </c>
      <c r="M42" s="136">
        <v>20529</v>
      </c>
      <c r="N42" s="136">
        <v>22628</v>
      </c>
      <c r="O42" s="136">
        <v>24198</v>
      </c>
      <c r="P42" s="136">
        <v>25504</v>
      </c>
    </row>
    <row r="43" spans="2:16" x14ac:dyDescent="0.45">
      <c r="B43" s="122" t="s">
        <v>131</v>
      </c>
      <c r="C43" s="123">
        <v>2404</v>
      </c>
      <c r="D43" s="123">
        <v>2067</v>
      </c>
      <c r="E43" s="123">
        <v>2275</v>
      </c>
      <c r="F43" s="123">
        <v>2631</v>
      </c>
      <c r="G43" s="123">
        <v>3909</v>
      </c>
      <c r="K43" s="144" t="s">
        <v>9</v>
      </c>
      <c r="L43" s="143">
        <v>0.27</v>
      </c>
      <c r="M43" s="143">
        <v>0.24</v>
      </c>
      <c r="N43" s="143">
        <v>0.22</v>
      </c>
      <c r="O43" s="143">
        <v>0.22</v>
      </c>
      <c r="P43" s="143">
        <v>0.22</v>
      </c>
    </row>
    <row r="44" spans="2:16" x14ac:dyDescent="0.45">
      <c r="B44" s="92" t="s">
        <v>11</v>
      </c>
      <c r="C44" s="112">
        <v>0</v>
      </c>
      <c r="D44" s="112">
        <v>0</v>
      </c>
      <c r="E44" s="112">
        <v>9</v>
      </c>
      <c r="F44" s="112">
        <v>207</v>
      </c>
      <c r="G44" s="112">
        <v>61</v>
      </c>
      <c r="K44" s="135" t="s">
        <v>131</v>
      </c>
      <c r="L44" s="145">
        <v>927</v>
      </c>
      <c r="M44" s="136">
        <v>1067</v>
      </c>
      <c r="N44" s="136">
        <v>1358</v>
      </c>
      <c r="O44" s="136">
        <v>1495</v>
      </c>
      <c r="P44" s="136">
        <v>2485</v>
      </c>
    </row>
    <row r="45" spans="2:16" x14ac:dyDescent="0.45">
      <c r="B45" s="92" t="s">
        <v>12</v>
      </c>
      <c r="C45" s="116">
        <v>2404</v>
      </c>
      <c r="D45" s="116">
        <v>2067</v>
      </c>
      <c r="E45" s="116">
        <v>2266</v>
      </c>
      <c r="F45" s="116">
        <v>2424</v>
      </c>
      <c r="G45" s="116">
        <v>3849</v>
      </c>
      <c r="K45" s="137" t="s">
        <v>11</v>
      </c>
      <c r="L45" s="142">
        <v>215</v>
      </c>
      <c r="M45" s="142">
        <v>118</v>
      </c>
      <c r="N45" s="142">
        <v>265</v>
      </c>
      <c r="O45" s="142">
        <v>172</v>
      </c>
      <c r="P45" s="142">
        <v>202</v>
      </c>
    </row>
    <row r="46" spans="2:16" x14ac:dyDescent="0.45">
      <c r="B46" s="113" t="s">
        <v>13</v>
      </c>
      <c r="C46" s="118">
        <v>509</v>
      </c>
      <c r="D46" s="118">
        <v>532</v>
      </c>
      <c r="E46" s="114">
        <v>1008</v>
      </c>
      <c r="F46" s="114">
        <v>1255</v>
      </c>
      <c r="G46" s="114">
        <v>1477</v>
      </c>
      <c r="K46" s="137" t="s">
        <v>12</v>
      </c>
      <c r="L46" s="142">
        <v>712</v>
      </c>
      <c r="M46" s="142">
        <v>949</v>
      </c>
      <c r="N46" s="141">
        <v>1093</v>
      </c>
      <c r="O46" s="141">
        <v>1323</v>
      </c>
      <c r="P46" s="141">
        <v>2283</v>
      </c>
    </row>
    <row r="47" spans="2:16" x14ac:dyDescent="0.45">
      <c r="B47" s="111" t="s">
        <v>14</v>
      </c>
      <c r="C47" s="116">
        <v>2763</v>
      </c>
      <c r="D47" s="116">
        <v>3078</v>
      </c>
      <c r="E47" s="116">
        <v>3340</v>
      </c>
      <c r="F47" s="116">
        <v>3407</v>
      </c>
      <c r="G47" s="116">
        <v>2958</v>
      </c>
      <c r="K47" s="144" t="s">
        <v>13</v>
      </c>
      <c r="L47" s="142">
        <v>511</v>
      </c>
      <c r="M47" s="142">
        <v>319</v>
      </c>
      <c r="N47" s="142">
        <v>353</v>
      </c>
      <c r="O47" s="142">
        <v>553</v>
      </c>
      <c r="P47" s="142">
        <v>644</v>
      </c>
    </row>
    <row r="48" spans="2:16" x14ac:dyDescent="0.45">
      <c r="B48" s="125" t="s">
        <v>15</v>
      </c>
      <c r="C48" s="126">
        <v>13903</v>
      </c>
      <c r="D48" s="126">
        <v>15141</v>
      </c>
      <c r="E48" s="126">
        <v>14766</v>
      </c>
      <c r="F48" s="126">
        <v>14721</v>
      </c>
      <c r="G48" s="126">
        <v>17496</v>
      </c>
      <c r="K48" s="144" t="s">
        <v>14</v>
      </c>
      <c r="L48" s="141">
        <v>4611</v>
      </c>
      <c r="M48" s="141">
        <v>4326</v>
      </c>
      <c r="N48" s="141">
        <v>4145</v>
      </c>
      <c r="O48" s="141">
        <v>4173</v>
      </c>
      <c r="P48" s="141">
        <v>4084</v>
      </c>
    </row>
    <row r="49" spans="2:16" x14ac:dyDescent="0.45">
      <c r="B49" s="111" t="s">
        <v>16</v>
      </c>
      <c r="C49" s="128">
        <v>0.22</v>
      </c>
      <c r="D49" s="128">
        <v>0.19</v>
      </c>
      <c r="E49" s="128">
        <v>0.23</v>
      </c>
      <c r="F49" s="128">
        <v>0.25</v>
      </c>
      <c r="G49" s="128">
        <v>0.24</v>
      </c>
      <c r="K49" s="135" t="s">
        <v>15</v>
      </c>
      <c r="L49" s="136">
        <v>15853</v>
      </c>
      <c r="M49" s="136">
        <v>16951</v>
      </c>
      <c r="N49" s="136">
        <v>19488</v>
      </c>
      <c r="O49" s="136">
        <v>20967</v>
      </c>
      <c r="P49" s="136">
        <v>23261</v>
      </c>
    </row>
    <row r="50" spans="2:16" x14ac:dyDescent="0.45">
      <c r="B50" s="125" t="s">
        <v>132</v>
      </c>
      <c r="C50" s="126">
        <v>10868</v>
      </c>
      <c r="D50" s="126">
        <v>12243</v>
      </c>
      <c r="E50" s="126">
        <v>11366</v>
      </c>
      <c r="F50" s="126">
        <v>11112</v>
      </c>
      <c r="G50" s="126">
        <v>13218</v>
      </c>
      <c r="K50" s="144" t="s">
        <v>16</v>
      </c>
      <c r="L50" s="143">
        <v>0.3</v>
      </c>
      <c r="M50" s="143">
        <v>0.2</v>
      </c>
      <c r="N50" s="143">
        <v>0.24</v>
      </c>
      <c r="O50" s="143">
        <v>0.25</v>
      </c>
      <c r="P50" s="143">
        <v>0.25</v>
      </c>
    </row>
    <row r="51" spans="2:16" x14ac:dyDescent="0.45">
      <c r="B51" s="94" t="s">
        <v>97</v>
      </c>
      <c r="C51" s="118">
        <v>-72</v>
      </c>
      <c r="D51" s="118">
        <v>-14</v>
      </c>
      <c r="E51" s="118">
        <v>-16</v>
      </c>
      <c r="F51" s="118">
        <v>-67</v>
      </c>
      <c r="G51" s="118">
        <v>-83</v>
      </c>
      <c r="K51" s="135" t="s">
        <v>132</v>
      </c>
      <c r="L51" s="136">
        <v>11169</v>
      </c>
      <c r="M51" s="136">
        <v>13523</v>
      </c>
      <c r="N51" s="136">
        <v>14845</v>
      </c>
      <c r="O51" s="136">
        <v>15710</v>
      </c>
      <c r="P51" s="136">
        <v>17399</v>
      </c>
    </row>
    <row r="52" spans="2:16" x14ac:dyDescent="0.45">
      <c r="B52" s="94" t="s">
        <v>18</v>
      </c>
      <c r="C52" s="118">
        <v>0</v>
      </c>
      <c r="D52" s="118">
        <v>0</v>
      </c>
      <c r="E52" s="118">
        <v>7</v>
      </c>
      <c r="F52" s="118">
        <v>156</v>
      </c>
      <c r="G52" s="118">
        <v>46</v>
      </c>
      <c r="K52" s="137" t="s">
        <v>96</v>
      </c>
      <c r="L52" s="142">
        <v>0</v>
      </c>
      <c r="M52" s="142">
        <v>0</v>
      </c>
      <c r="N52" s="142">
        <v>0</v>
      </c>
      <c r="O52" s="142">
        <v>0</v>
      </c>
      <c r="P52" s="142">
        <v>0</v>
      </c>
    </row>
    <row r="53" spans="2:16" x14ac:dyDescent="0.45">
      <c r="B53" s="94" t="s">
        <v>19</v>
      </c>
      <c r="C53" s="114">
        <v>10868</v>
      </c>
      <c r="D53" s="114">
        <v>12243</v>
      </c>
      <c r="E53" s="114">
        <v>11360</v>
      </c>
      <c r="F53" s="114">
        <v>10956</v>
      </c>
      <c r="G53" s="114">
        <v>13172</v>
      </c>
      <c r="K53" s="137" t="s">
        <v>97</v>
      </c>
      <c r="L53" s="142">
        <v>-24</v>
      </c>
      <c r="M53" s="142">
        <v>-24</v>
      </c>
      <c r="N53" s="142">
        <v>6</v>
      </c>
      <c r="O53" s="142">
        <v>-8</v>
      </c>
      <c r="P53" s="142">
        <v>-9</v>
      </c>
    </row>
    <row r="54" spans="2:16" x14ac:dyDescent="0.45">
      <c r="B54" s="94" t="s">
        <v>20</v>
      </c>
      <c r="C54" s="114">
        <v>10796</v>
      </c>
      <c r="D54" s="114">
        <v>12230</v>
      </c>
      <c r="E54" s="114">
        <v>11343</v>
      </c>
      <c r="F54" s="114">
        <v>10890</v>
      </c>
      <c r="G54" s="114">
        <v>13090</v>
      </c>
      <c r="K54" s="137" t="s">
        <v>18</v>
      </c>
      <c r="L54" s="142">
        <v>151</v>
      </c>
      <c r="M54" s="142">
        <v>94</v>
      </c>
      <c r="N54" s="142">
        <v>202</v>
      </c>
      <c r="O54" s="142">
        <v>129</v>
      </c>
      <c r="P54" s="142">
        <v>151</v>
      </c>
    </row>
    <row r="55" spans="2:16" x14ac:dyDescent="0.45">
      <c r="B55" s="94" t="s">
        <v>21</v>
      </c>
      <c r="C55" s="114">
        <v>10796</v>
      </c>
      <c r="D55" s="114">
        <v>12230</v>
      </c>
      <c r="E55" s="114">
        <v>11350</v>
      </c>
      <c r="F55" s="114">
        <v>11045</v>
      </c>
      <c r="G55" s="114">
        <v>13135</v>
      </c>
      <c r="K55" s="137" t="s">
        <v>19</v>
      </c>
      <c r="L55" s="141">
        <v>11018</v>
      </c>
      <c r="M55" s="141">
        <v>13429</v>
      </c>
      <c r="N55" s="141">
        <v>14643</v>
      </c>
      <c r="O55" s="141">
        <v>15581</v>
      </c>
      <c r="P55" s="141">
        <v>17248</v>
      </c>
    </row>
    <row r="56" spans="2:16" x14ac:dyDescent="0.45">
      <c r="B56" s="111" t="s">
        <v>22</v>
      </c>
      <c r="C56" s="112">
        <v>9.85</v>
      </c>
      <c r="D56" s="112">
        <v>11.15</v>
      </c>
      <c r="E56" s="112">
        <v>10.34</v>
      </c>
      <c r="F56" s="112">
        <v>10.57</v>
      </c>
      <c r="G56" s="112">
        <v>12.54</v>
      </c>
      <c r="K56" s="137" t="s">
        <v>20</v>
      </c>
      <c r="L56" s="141">
        <v>10994</v>
      </c>
      <c r="M56" s="141">
        <v>13405</v>
      </c>
      <c r="N56" s="141">
        <v>14649</v>
      </c>
      <c r="O56" s="141">
        <v>15573</v>
      </c>
      <c r="P56" s="141">
        <v>17239</v>
      </c>
    </row>
    <row r="57" spans="2:16" x14ac:dyDescent="0.45">
      <c r="B57" s="113" t="s">
        <v>23</v>
      </c>
      <c r="C57" s="127">
        <v>0.05</v>
      </c>
      <c r="D57" s="127">
        <v>0.27</v>
      </c>
      <c r="E57" s="127">
        <v>0.05</v>
      </c>
      <c r="F57" s="127">
        <v>0.05</v>
      </c>
      <c r="G57" s="127">
        <v>0.48</v>
      </c>
      <c r="K57" s="137" t="s">
        <v>21</v>
      </c>
      <c r="L57" s="141">
        <v>11145</v>
      </c>
      <c r="M57" s="141">
        <v>13499</v>
      </c>
      <c r="N57" s="141">
        <v>14851</v>
      </c>
      <c r="O57" s="141">
        <v>15702</v>
      </c>
      <c r="P57" s="141">
        <v>17390</v>
      </c>
    </row>
    <row r="58" spans="2:16" x14ac:dyDescent="0.45">
      <c r="K58" s="144" t="s">
        <v>22</v>
      </c>
      <c r="L58" s="142">
        <v>41.07</v>
      </c>
      <c r="M58" s="142">
        <v>49.74</v>
      </c>
      <c r="N58" s="142">
        <v>54.73</v>
      </c>
      <c r="O58" s="142">
        <v>57.86</v>
      </c>
      <c r="P58" s="142">
        <v>64.08</v>
      </c>
    </row>
    <row r="59" spans="2:16" x14ac:dyDescent="0.45">
      <c r="K59" s="144" t="s">
        <v>23</v>
      </c>
      <c r="L59" s="143">
        <v>0.24</v>
      </c>
      <c r="M59" s="143">
        <v>0.84</v>
      </c>
      <c r="N59" s="143">
        <v>0.88</v>
      </c>
      <c r="O59" s="143">
        <v>0.9</v>
      </c>
      <c r="P59" s="143">
        <v>0.94</v>
      </c>
    </row>
    <row r="60" spans="2:16" x14ac:dyDescent="0.45">
      <c r="K60" s="133"/>
      <c r="L60" s="133"/>
      <c r="M60" s="133"/>
      <c r="N60" s="133"/>
      <c r="O60" s="133"/>
      <c r="P60" s="1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128B-94FE-487A-A253-AD90B027851F}">
  <dimension ref="B2:R76"/>
  <sheetViews>
    <sheetView topLeftCell="A38" workbookViewId="0">
      <selection activeCell="N41" sqref="N41"/>
    </sheetView>
  </sheetViews>
  <sheetFormatPr defaultColWidth="8.796875" defaultRowHeight="14.25" x14ac:dyDescent="0.45"/>
  <cols>
    <col min="2" max="2" width="24.46484375" bestFit="1" customWidth="1"/>
    <col min="3" max="7" width="10.6640625" bestFit="1" customWidth="1"/>
    <col min="11" max="11" width="24.46484375" bestFit="1" customWidth="1"/>
    <col min="12" max="16" width="10.6640625" bestFit="1" customWidth="1"/>
  </cols>
  <sheetData>
    <row r="2" spans="2:18" x14ac:dyDescent="0.45">
      <c r="D2" t="s">
        <v>122</v>
      </c>
      <c r="N2" t="s">
        <v>127</v>
      </c>
    </row>
    <row r="3" spans="2:18" ht="14.65" thickBot="1" x14ac:dyDescent="0.5">
      <c r="B3" s="41"/>
      <c r="C3" s="42">
        <v>44256</v>
      </c>
      <c r="D3" s="42">
        <v>44621</v>
      </c>
      <c r="E3" s="42">
        <v>44986</v>
      </c>
      <c r="F3" s="42">
        <v>45352</v>
      </c>
      <c r="G3" s="42">
        <v>45717</v>
      </c>
      <c r="H3" s="81"/>
      <c r="K3" s="41"/>
      <c r="L3" s="110">
        <v>44256</v>
      </c>
      <c r="M3" s="110">
        <v>44621</v>
      </c>
      <c r="N3" s="110">
        <v>44986</v>
      </c>
      <c r="O3" s="110">
        <v>45352</v>
      </c>
      <c r="P3" s="110">
        <v>45717</v>
      </c>
      <c r="Q3" s="81"/>
      <c r="R3" s="32"/>
    </row>
    <row r="4" spans="2:18" x14ac:dyDescent="0.45">
      <c r="B4" s="52" t="s">
        <v>25</v>
      </c>
      <c r="C4" s="49">
        <v>2124</v>
      </c>
      <c r="D4" s="49">
        <v>2098</v>
      </c>
      <c r="E4" s="49">
        <v>2069</v>
      </c>
      <c r="F4" s="49">
        <v>2071</v>
      </c>
      <c r="G4" s="49">
        <v>2073</v>
      </c>
      <c r="H4" s="38"/>
      <c r="K4" s="111" t="s">
        <v>25</v>
      </c>
      <c r="L4" s="112">
        <v>370</v>
      </c>
      <c r="M4" s="112">
        <v>366</v>
      </c>
      <c r="N4" s="112">
        <v>366</v>
      </c>
      <c r="O4" s="112">
        <v>362</v>
      </c>
      <c r="P4" s="112">
        <v>362</v>
      </c>
      <c r="Q4" s="39"/>
    </row>
    <row r="5" spans="2:18" ht="14.65" thickBot="1" x14ac:dyDescent="0.5">
      <c r="B5" s="52" t="s">
        <v>26</v>
      </c>
      <c r="C5" s="49">
        <v>74227</v>
      </c>
      <c r="D5" s="49">
        <v>73252</v>
      </c>
      <c r="E5" s="49">
        <v>73338</v>
      </c>
      <c r="F5" s="49">
        <v>86045</v>
      </c>
      <c r="G5" s="49">
        <v>93745</v>
      </c>
      <c r="H5" s="38"/>
      <c r="K5" s="113" t="s">
        <v>26</v>
      </c>
      <c r="L5" s="114">
        <v>86063</v>
      </c>
      <c r="M5" s="114">
        <v>88773</v>
      </c>
      <c r="N5" s="114">
        <v>90058</v>
      </c>
      <c r="O5" s="114">
        <v>90127</v>
      </c>
      <c r="P5" s="114">
        <v>94394</v>
      </c>
      <c r="Q5" s="38"/>
    </row>
    <row r="6" spans="2:18" x14ac:dyDescent="0.45">
      <c r="B6" s="43" t="s">
        <v>112</v>
      </c>
      <c r="C6" s="44">
        <v>5325</v>
      </c>
      <c r="D6" s="44">
        <v>5474</v>
      </c>
      <c r="E6" s="44">
        <v>8299</v>
      </c>
      <c r="F6" s="44">
        <v>8359</v>
      </c>
      <c r="G6" s="44">
        <v>8227</v>
      </c>
      <c r="H6" s="82"/>
      <c r="K6" s="90" t="s">
        <v>112</v>
      </c>
      <c r="L6" s="115">
        <v>7795</v>
      </c>
      <c r="M6" s="115">
        <v>7818</v>
      </c>
      <c r="N6" s="115">
        <v>7688</v>
      </c>
      <c r="O6" s="115">
        <v>8021</v>
      </c>
      <c r="P6" s="115">
        <v>9392</v>
      </c>
      <c r="Q6" s="82"/>
    </row>
    <row r="7" spans="2:18" ht="14.65" thickBot="1" x14ac:dyDescent="0.5">
      <c r="B7" s="45" t="s">
        <v>28</v>
      </c>
      <c r="C7" s="49">
        <v>5325</v>
      </c>
      <c r="D7" s="49">
        <v>5474</v>
      </c>
      <c r="E7" s="49">
        <v>8299</v>
      </c>
      <c r="F7" s="49">
        <v>8359</v>
      </c>
      <c r="G7" s="49">
        <v>8227</v>
      </c>
      <c r="H7" s="38"/>
      <c r="K7" s="92" t="s">
        <v>92</v>
      </c>
      <c r="L7" s="112">
        <v>0</v>
      </c>
      <c r="M7" s="112">
        <v>0</v>
      </c>
      <c r="N7" s="112">
        <v>0</v>
      </c>
      <c r="O7" s="112">
        <v>0</v>
      </c>
      <c r="P7" s="112">
        <v>0</v>
      </c>
      <c r="Q7" s="39"/>
    </row>
    <row r="8" spans="2:18" x14ac:dyDescent="0.45">
      <c r="B8" s="43" t="s">
        <v>114</v>
      </c>
      <c r="C8" s="44">
        <v>25835</v>
      </c>
      <c r="D8" s="44">
        <v>35905</v>
      </c>
      <c r="E8" s="44">
        <v>40890</v>
      </c>
      <c r="F8" s="44">
        <v>40885</v>
      </c>
      <c r="G8" s="44">
        <v>43750</v>
      </c>
      <c r="H8" s="82"/>
      <c r="K8" s="92" t="s">
        <v>93</v>
      </c>
      <c r="L8" s="112">
        <v>0</v>
      </c>
      <c r="M8" s="112">
        <v>0</v>
      </c>
      <c r="N8" s="112">
        <v>0</v>
      </c>
      <c r="O8" s="112">
        <v>0</v>
      </c>
      <c r="P8" s="112">
        <v>0</v>
      </c>
      <c r="Q8" s="39"/>
    </row>
    <row r="9" spans="2:18" x14ac:dyDescent="0.45">
      <c r="B9" s="45" t="s">
        <v>99</v>
      </c>
      <c r="C9" s="50">
        <v>431</v>
      </c>
      <c r="D9" s="50">
        <v>386</v>
      </c>
      <c r="E9" s="50">
        <v>388</v>
      </c>
      <c r="F9" s="50">
        <v>345</v>
      </c>
      <c r="G9" s="50">
        <v>385</v>
      </c>
      <c r="H9" s="39"/>
      <c r="K9" s="92" t="s">
        <v>28</v>
      </c>
      <c r="L9" s="116">
        <v>7795</v>
      </c>
      <c r="M9" s="116">
        <v>7818</v>
      </c>
      <c r="N9" s="116">
        <v>7688</v>
      </c>
      <c r="O9" s="116">
        <v>8021</v>
      </c>
      <c r="P9" s="116">
        <v>9392</v>
      </c>
      <c r="Q9" s="38"/>
    </row>
    <row r="10" spans="2:18" ht="14.65" thickBot="1" x14ac:dyDescent="0.5">
      <c r="B10" s="45" t="s">
        <v>31</v>
      </c>
      <c r="C10" s="49">
        <v>2645</v>
      </c>
      <c r="D10" s="49">
        <v>4134</v>
      </c>
      <c r="E10" s="49">
        <v>3865</v>
      </c>
      <c r="F10" s="49">
        <v>3956</v>
      </c>
      <c r="G10" s="49">
        <v>4164</v>
      </c>
      <c r="H10" s="38"/>
      <c r="K10" s="92" t="s">
        <v>29</v>
      </c>
      <c r="L10" s="112">
        <v>0</v>
      </c>
      <c r="M10" s="112">
        <v>0</v>
      </c>
      <c r="N10" s="112">
        <v>0</v>
      </c>
      <c r="O10" s="112">
        <v>0</v>
      </c>
      <c r="P10" s="112">
        <v>0</v>
      </c>
      <c r="Q10" s="39"/>
    </row>
    <row r="11" spans="2:18" x14ac:dyDescent="0.45">
      <c r="B11" s="45" t="s">
        <v>32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39"/>
      <c r="K11" s="93" t="s">
        <v>114</v>
      </c>
      <c r="L11" s="117">
        <v>35764</v>
      </c>
      <c r="M11" s="117">
        <v>43967</v>
      </c>
      <c r="N11" s="117">
        <v>44747</v>
      </c>
      <c r="O11" s="117">
        <v>46962</v>
      </c>
      <c r="P11" s="117">
        <v>54501</v>
      </c>
      <c r="Q11" s="82"/>
    </row>
    <row r="12" spans="2:18" ht="14.65" thickBot="1" x14ac:dyDescent="0.5">
      <c r="B12" s="45" t="s">
        <v>33</v>
      </c>
      <c r="C12" s="49">
        <v>22759</v>
      </c>
      <c r="D12" s="49">
        <v>31385</v>
      </c>
      <c r="E12" s="49">
        <v>36637</v>
      </c>
      <c r="F12" s="49">
        <v>36584</v>
      </c>
      <c r="G12" s="49">
        <v>39201</v>
      </c>
      <c r="H12" s="38"/>
      <c r="K12" s="94" t="s">
        <v>99</v>
      </c>
      <c r="L12" s="118">
        <v>675</v>
      </c>
      <c r="M12" s="118">
        <v>707</v>
      </c>
      <c r="N12" s="118">
        <v>782</v>
      </c>
      <c r="O12" s="118">
        <v>830</v>
      </c>
      <c r="P12" s="114">
        <v>1015</v>
      </c>
      <c r="Q12" s="38"/>
    </row>
    <row r="13" spans="2:18" ht="14.65" thickBot="1" x14ac:dyDescent="0.5">
      <c r="B13" s="43" t="s">
        <v>34</v>
      </c>
      <c r="C13" s="44">
        <v>107511</v>
      </c>
      <c r="D13" s="44">
        <v>116729</v>
      </c>
      <c r="E13" s="44">
        <v>124596</v>
      </c>
      <c r="F13" s="44">
        <v>137360</v>
      </c>
      <c r="G13" s="44">
        <v>147795</v>
      </c>
      <c r="H13" s="82"/>
      <c r="K13" s="94" t="s">
        <v>31</v>
      </c>
      <c r="L13" s="114">
        <v>7860</v>
      </c>
      <c r="M13" s="114">
        <v>8045</v>
      </c>
      <c r="N13" s="114">
        <v>10515</v>
      </c>
      <c r="O13" s="114">
        <v>9981</v>
      </c>
      <c r="P13" s="114">
        <v>13909</v>
      </c>
      <c r="Q13" s="38"/>
    </row>
    <row r="14" spans="2:18" x14ac:dyDescent="0.45">
      <c r="B14" s="43" t="s">
        <v>115</v>
      </c>
      <c r="C14" s="44">
        <v>25505</v>
      </c>
      <c r="D14" s="44">
        <v>25800</v>
      </c>
      <c r="E14" s="44">
        <v>29225</v>
      </c>
      <c r="F14" s="44">
        <v>27622</v>
      </c>
      <c r="G14" s="44">
        <v>30961</v>
      </c>
      <c r="H14" s="82"/>
      <c r="K14" s="94" t="s">
        <v>32</v>
      </c>
      <c r="L14" s="118">
        <v>312</v>
      </c>
      <c r="M14" s="118">
        <v>468</v>
      </c>
      <c r="N14" s="118">
        <v>543</v>
      </c>
      <c r="O14" s="114">
        <v>1841</v>
      </c>
      <c r="P14" s="114">
        <v>1896</v>
      </c>
      <c r="Q14" s="39"/>
    </row>
    <row r="15" spans="2:18" ht="14.65" thickBot="1" x14ac:dyDescent="0.5">
      <c r="B15" s="45" t="s">
        <v>36</v>
      </c>
      <c r="C15" s="49">
        <v>2036</v>
      </c>
      <c r="D15" s="49">
        <v>2065</v>
      </c>
      <c r="E15" s="49">
        <v>2054</v>
      </c>
      <c r="F15" s="49">
        <v>2037</v>
      </c>
      <c r="G15" s="49">
        <v>2079</v>
      </c>
      <c r="H15" s="39"/>
      <c r="K15" s="94" t="s">
        <v>33</v>
      </c>
      <c r="L15" s="114">
        <v>26917</v>
      </c>
      <c r="M15" s="114">
        <v>34747</v>
      </c>
      <c r="N15" s="114">
        <v>32907</v>
      </c>
      <c r="O15" s="114">
        <v>34310</v>
      </c>
      <c r="P15" s="114">
        <v>37681</v>
      </c>
      <c r="Q15" s="38"/>
    </row>
    <row r="16" spans="2:18" ht="14.65" thickBot="1" x14ac:dyDescent="0.5">
      <c r="B16" s="45" t="s">
        <v>37</v>
      </c>
      <c r="C16" s="49">
        <v>16328</v>
      </c>
      <c r="D16" s="49">
        <v>16761</v>
      </c>
      <c r="E16" s="49">
        <v>16903</v>
      </c>
      <c r="F16" s="49">
        <v>16515</v>
      </c>
      <c r="G16" s="49">
        <v>16376</v>
      </c>
      <c r="H16" s="39"/>
      <c r="K16" s="90" t="s">
        <v>34</v>
      </c>
      <c r="L16" s="115">
        <v>129992</v>
      </c>
      <c r="M16" s="115">
        <v>140924</v>
      </c>
      <c r="N16" s="115">
        <v>142859</v>
      </c>
      <c r="O16" s="115">
        <v>145472</v>
      </c>
      <c r="P16" s="115">
        <v>158649</v>
      </c>
      <c r="Q16" s="82"/>
    </row>
    <row r="17" spans="2:17" x14ac:dyDescent="0.45">
      <c r="B17" s="45" t="s">
        <v>38</v>
      </c>
      <c r="C17" s="49">
        <v>3296</v>
      </c>
      <c r="D17" s="49">
        <v>3210</v>
      </c>
      <c r="E17" s="49">
        <v>3302</v>
      </c>
      <c r="F17" s="49">
        <v>3428</v>
      </c>
      <c r="G17" s="49">
        <v>3461</v>
      </c>
      <c r="H17" s="39"/>
      <c r="K17" s="93" t="s">
        <v>115</v>
      </c>
      <c r="L17" s="117">
        <v>21021</v>
      </c>
      <c r="M17" s="117">
        <v>21298</v>
      </c>
      <c r="N17" s="117">
        <v>20515</v>
      </c>
      <c r="O17" s="117">
        <v>19604</v>
      </c>
      <c r="P17" s="117">
        <v>23053</v>
      </c>
      <c r="Q17" s="82"/>
    </row>
    <row r="18" spans="2:17" x14ac:dyDescent="0.45">
      <c r="B18" s="45" t="s">
        <v>39</v>
      </c>
      <c r="C18" s="49">
        <v>1371</v>
      </c>
      <c r="D18" s="49">
        <v>1427</v>
      </c>
      <c r="E18" s="49">
        <v>1482</v>
      </c>
      <c r="F18" s="49">
        <v>1528</v>
      </c>
      <c r="G18" s="49">
        <v>1628</v>
      </c>
      <c r="H18" s="39"/>
      <c r="K18" s="94" t="s">
        <v>36</v>
      </c>
      <c r="L18" s="114">
        <v>1041</v>
      </c>
      <c r="M18" s="114">
        <v>1126</v>
      </c>
      <c r="N18" s="114">
        <v>1304</v>
      </c>
      <c r="O18" s="114">
        <v>1294</v>
      </c>
      <c r="P18" s="114">
        <v>2885</v>
      </c>
      <c r="Q18" s="39"/>
    </row>
    <row r="19" spans="2:17" x14ac:dyDescent="0.45">
      <c r="B19" s="45" t="s">
        <v>40</v>
      </c>
      <c r="C19" s="49">
        <v>8650</v>
      </c>
      <c r="D19" s="49">
        <v>9936</v>
      </c>
      <c r="E19" s="49">
        <v>11898</v>
      </c>
      <c r="F19" s="49">
        <v>12353</v>
      </c>
      <c r="G19" s="49">
        <v>12925</v>
      </c>
      <c r="H19" s="39"/>
      <c r="K19" s="94" t="s">
        <v>37</v>
      </c>
      <c r="L19" s="114">
        <v>18524</v>
      </c>
      <c r="M19" s="114">
        <v>17007</v>
      </c>
      <c r="N19" s="114">
        <v>18635</v>
      </c>
      <c r="O19" s="114">
        <v>19314</v>
      </c>
      <c r="P19" s="114">
        <v>21379</v>
      </c>
      <c r="Q19" s="39"/>
    </row>
    <row r="20" spans="2:17" x14ac:dyDescent="0.45">
      <c r="B20" s="45" t="s">
        <v>41</v>
      </c>
      <c r="C20" s="49">
        <v>2149</v>
      </c>
      <c r="D20" s="49">
        <v>2279</v>
      </c>
      <c r="E20" s="49">
        <v>2303</v>
      </c>
      <c r="F20" s="49">
        <v>2326</v>
      </c>
      <c r="G20" s="49">
        <v>2340</v>
      </c>
      <c r="H20" s="39"/>
      <c r="K20" s="94" t="s">
        <v>38</v>
      </c>
      <c r="L20" s="118">
        <v>737</v>
      </c>
      <c r="M20" s="118">
        <v>770</v>
      </c>
      <c r="N20" s="118">
        <v>828</v>
      </c>
      <c r="O20" s="118">
        <v>878</v>
      </c>
      <c r="P20" s="118">
        <v>993</v>
      </c>
      <c r="Q20" s="39"/>
    </row>
    <row r="21" spans="2:17" x14ac:dyDescent="0.45">
      <c r="B21" s="45" t="s">
        <v>42</v>
      </c>
      <c r="C21" s="50">
        <v>74</v>
      </c>
      <c r="D21" s="50">
        <v>71</v>
      </c>
      <c r="E21" s="50">
        <v>60</v>
      </c>
      <c r="F21" s="50">
        <v>62</v>
      </c>
      <c r="G21" s="50">
        <v>72</v>
      </c>
      <c r="H21" s="39"/>
      <c r="K21" s="94" t="s">
        <v>39</v>
      </c>
      <c r="L21" s="114">
        <v>2587</v>
      </c>
      <c r="M21" s="114">
        <v>2693</v>
      </c>
      <c r="N21" s="114">
        <v>2823</v>
      </c>
      <c r="O21" s="114">
        <v>2982</v>
      </c>
      <c r="P21" s="114">
        <v>3169</v>
      </c>
      <c r="Q21" s="39"/>
    </row>
    <row r="22" spans="2:17" x14ac:dyDescent="0.45">
      <c r="B22" s="45" t="s">
        <v>43</v>
      </c>
      <c r="C22" s="49">
        <v>6372</v>
      </c>
      <c r="D22" s="49">
        <v>6495</v>
      </c>
      <c r="E22" s="49">
        <v>7594</v>
      </c>
      <c r="F22" s="49">
        <v>7653</v>
      </c>
      <c r="G22" s="49">
        <v>10626</v>
      </c>
      <c r="H22" s="38"/>
      <c r="K22" s="94" t="s">
        <v>40</v>
      </c>
      <c r="L22" s="114">
        <v>10873</v>
      </c>
      <c r="M22" s="114">
        <v>12301</v>
      </c>
      <c r="N22" s="114">
        <v>13725</v>
      </c>
      <c r="O22" s="114">
        <v>14544</v>
      </c>
      <c r="P22" s="114">
        <v>15212</v>
      </c>
      <c r="Q22" s="39"/>
    </row>
    <row r="23" spans="2:17" ht="14.65" thickBot="1" x14ac:dyDescent="0.5">
      <c r="B23" s="45" t="s">
        <v>44</v>
      </c>
      <c r="C23" s="49">
        <v>2730</v>
      </c>
      <c r="D23" s="49">
        <v>2766</v>
      </c>
      <c r="E23" s="49">
        <v>3281</v>
      </c>
      <c r="F23" s="49">
        <v>3294</v>
      </c>
      <c r="G23" s="49">
        <v>5184</v>
      </c>
      <c r="H23" s="39"/>
      <c r="K23" s="94" t="s">
        <v>41</v>
      </c>
      <c r="L23" s="114">
        <v>3943</v>
      </c>
      <c r="M23" s="114">
        <v>3968</v>
      </c>
      <c r="N23" s="114">
        <v>4130</v>
      </c>
      <c r="O23" s="114">
        <v>4346</v>
      </c>
      <c r="P23" s="114">
        <v>4628</v>
      </c>
      <c r="Q23" s="39"/>
    </row>
    <row r="24" spans="2:17" x14ac:dyDescent="0.45">
      <c r="B24" s="47" t="s">
        <v>45</v>
      </c>
      <c r="C24" s="44">
        <v>43006</v>
      </c>
      <c r="D24" s="44">
        <v>45010</v>
      </c>
      <c r="E24" s="44">
        <v>48877</v>
      </c>
      <c r="F24" s="44">
        <v>49196</v>
      </c>
      <c r="G24" s="44">
        <v>54691</v>
      </c>
      <c r="H24" s="83"/>
      <c r="K24" s="94" t="s">
        <v>42</v>
      </c>
      <c r="L24" s="118">
        <v>86</v>
      </c>
      <c r="M24" s="118">
        <v>71</v>
      </c>
      <c r="N24" s="118">
        <v>93</v>
      </c>
      <c r="O24" s="118">
        <v>97</v>
      </c>
      <c r="P24" s="118">
        <v>106</v>
      </c>
      <c r="Q24" s="39"/>
    </row>
    <row r="25" spans="2:17" x14ac:dyDescent="0.45">
      <c r="B25" s="45" t="s">
        <v>46</v>
      </c>
      <c r="C25" s="49">
        <v>17501</v>
      </c>
      <c r="D25" s="49">
        <v>19210</v>
      </c>
      <c r="E25" s="49">
        <v>19652</v>
      </c>
      <c r="F25" s="49">
        <v>21574</v>
      </c>
      <c r="G25" s="49">
        <v>23730</v>
      </c>
      <c r="H25" s="39"/>
      <c r="K25" s="94" t="s">
        <v>43</v>
      </c>
      <c r="L25" s="114">
        <v>2538</v>
      </c>
      <c r="M25" s="114">
        <v>3484</v>
      </c>
      <c r="N25" s="114">
        <v>3750</v>
      </c>
      <c r="O25" s="114">
        <v>3836</v>
      </c>
      <c r="P25" s="114">
        <v>4865</v>
      </c>
      <c r="Q25" s="38"/>
    </row>
    <row r="26" spans="2:17" ht="14.65" thickBot="1" x14ac:dyDescent="0.5">
      <c r="B26" s="52" t="s">
        <v>47</v>
      </c>
      <c r="C26" s="50">
        <v>922</v>
      </c>
      <c r="D26" s="50">
        <v>416</v>
      </c>
      <c r="E26" s="50">
        <v>288</v>
      </c>
      <c r="F26" s="50">
        <v>293</v>
      </c>
      <c r="G26" s="50">
        <v>814</v>
      </c>
      <c r="H26" s="38"/>
      <c r="K26" s="94" t="s">
        <v>44</v>
      </c>
      <c r="L26" s="118">
        <v>122</v>
      </c>
      <c r="M26" s="118">
        <v>121</v>
      </c>
      <c r="N26" s="118">
        <v>126</v>
      </c>
      <c r="O26" s="118">
        <v>127</v>
      </c>
      <c r="P26" s="118">
        <v>129</v>
      </c>
      <c r="Q26" s="39"/>
    </row>
    <row r="27" spans="2:17" ht="14.65" thickBot="1" x14ac:dyDescent="0.5">
      <c r="B27" s="52" t="s">
        <v>48</v>
      </c>
      <c r="C27" s="49">
        <v>14205</v>
      </c>
      <c r="D27" s="49">
        <v>20324</v>
      </c>
      <c r="E27" s="49">
        <v>19478</v>
      </c>
      <c r="F27" s="49">
        <v>24623</v>
      </c>
      <c r="G27" s="49">
        <v>23541</v>
      </c>
      <c r="H27" s="38"/>
      <c r="K27" s="119" t="s">
        <v>45</v>
      </c>
      <c r="L27" s="117">
        <v>40451</v>
      </c>
      <c r="M27" s="117">
        <v>41541</v>
      </c>
      <c r="N27" s="117">
        <v>45414</v>
      </c>
      <c r="O27" s="117">
        <v>47418</v>
      </c>
      <c r="P27" s="117">
        <v>53366</v>
      </c>
      <c r="Q27" s="83"/>
    </row>
    <row r="28" spans="2:17" x14ac:dyDescent="0.45">
      <c r="B28" s="43" t="s">
        <v>116</v>
      </c>
      <c r="C28" s="44">
        <v>66879</v>
      </c>
      <c r="D28" s="44">
        <v>70189</v>
      </c>
      <c r="E28" s="44">
        <v>75605</v>
      </c>
      <c r="F28" s="44">
        <v>84822</v>
      </c>
      <c r="G28" s="44">
        <v>92479</v>
      </c>
      <c r="H28" s="82"/>
      <c r="K28" s="94" t="s">
        <v>46</v>
      </c>
      <c r="L28" s="114">
        <v>19430</v>
      </c>
      <c r="M28" s="114">
        <v>20243</v>
      </c>
      <c r="N28" s="114">
        <v>24899</v>
      </c>
      <c r="O28" s="114">
        <v>27814</v>
      </c>
      <c r="P28" s="114">
        <v>30313</v>
      </c>
      <c r="Q28" s="39"/>
    </row>
    <row r="29" spans="2:17" x14ac:dyDescent="0.45">
      <c r="B29" s="45" t="s">
        <v>51</v>
      </c>
      <c r="C29" s="49">
        <v>19294</v>
      </c>
      <c r="D29" s="49">
        <v>22698</v>
      </c>
      <c r="E29" s="49">
        <v>25424</v>
      </c>
      <c r="F29" s="49">
        <v>30193</v>
      </c>
      <c r="G29" s="49">
        <v>31158</v>
      </c>
      <c r="H29" s="38"/>
      <c r="K29" s="111" t="s">
        <v>47</v>
      </c>
      <c r="L29" s="112">
        <v>926</v>
      </c>
      <c r="M29" s="116">
        <v>1205</v>
      </c>
      <c r="N29" s="116">
        <v>1234</v>
      </c>
      <c r="O29" s="116">
        <v>1564</v>
      </c>
      <c r="P29" s="116">
        <v>1546</v>
      </c>
      <c r="Q29" s="38"/>
    </row>
    <row r="30" spans="2:17" ht="14.65" thickBot="1" x14ac:dyDescent="0.5">
      <c r="B30" s="45" t="s">
        <v>52</v>
      </c>
      <c r="C30" s="49">
        <v>24714</v>
      </c>
      <c r="D30" s="49">
        <v>17472</v>
      </c>
      <c r="E30" s="49">
        <v>12173</v>
      </c>
      <c r="F30" s="49">
        <v>14786</v>
      </c>
      <c r="G30" s="49">
        <v>24455</v>
      </c>
      <c r="H30" s="38"/>
      <c r="K30" s="113" t="s">
        <v>48</v>
      </c>
      <c r="L30" s="114">
        <v>29373</v>
      </c>
      <c r="M30" s="114">
        <v>30485</v>
      </c>
      <c r="N30" s="114">
        <v>37163</v>
      </c>
      <c r="O30" s="114">
        <v>31762</v>
      </c>
      <c r="P30" s="114">
        <v>30964</v>
      </c>
      <c r="Q30" s="38"/>
    </row>
    <row r="31" spans="2:17" x14ac:dyDescent="0.45">
      <c r="B31" s="45" t="s">
        <v>53</v>
      </c>
      <c r="C31" s="49">
        <v>1460</v>
      </c>
      <c r="D31" s="49">
        <v>2491</v>
      </c>
      <c r="E31" s="49">
        <v>3242</v>
      </c>
      <c r="F31" s="49">
        <v>10330</v>
      </c>
      <c r="G31" s="49">
        <v>6717</v>
      </c>
      <c r="H31" s="38"/>
      <c r="K31" s="90" t="s">
        <v>116</v>
      </c>
      <c r="L31" s="115">
        <v>78672</v>
      </c>
      <c r="M31" s="115">
        <v>87936</v>
      </c>
      <c r="N31" s="115">
        <v>83947</v>
      </c>
      <c r="O31" s="115">
        <v>92542</v>
      </c>
      <c r="P31" s="115">
        <v>103086</v>
      </c>
      <c r="Q31" s="82"/>
    </row>
    <row r="32" spans="2:17" ht="14.65" thickBot="1" x14ac:dyDescent="0.5">
      <c r="B32" s="45" t="s">
        <v>54</v>
      </c>
      <c r="C32" s="49">
        <v>21411</v>
      </c>
      <c r="D32" s="49">
        <v>27528</v>
      </c>
      <c r="E32" s="49">
        <v>34766</v>
      </c>
      <c r="F32" s="49">
        <v>29513</v>
      </c>
      <c r="G32" s="49">
        <v>30149</v>
      </c>
      <c r="H32" s="38"/>
      <c r="K32" s="92" t="s">
        <v>50</v>
      </c>
      <c r="L32" s="112">
        <v>8</v>
      </c>
      <c r="M32" s="112">
        <v>20</v>
      </c>
      <c r="N32" s="112">
        <v>28</v>
      </c>
      <c r="O32" s="112">
        <v>28</v>
      </c>
      <c r="P32" s="112">
        <v>21</v>
      </c>
      <c r="Q32" s="39"/>
    </row>
    <row r="33" spans="2:17" x14ac:dyDescent="0.45">
      <c r="B33" s="43" t="s">
        <v>55</v>
      </c>
      <c r="C33" s="44">
        <v>107511</v>
      </c>
      <c r="D33" s="44">
        <v>116729</v>
      </c>
      <c r="E33" s="44">
        <v>124596</v>
      </c>
      <c r="F33" s="44">
        <v>137360</v>
      </c>
      <c r="G33" s="44">
        <v>147795</v>
      </c>
      <c r="H33" s="82"/>
      <c r="K33" s="92" t="s">
        <v>128</v>
      </c>
      <c r="L33" s="116">
        <v>30079</v>
      </c>
      <c r="M33" s="116">
        <v>41810</v>
      </c>
      <c r="N33" s="116">
        <v>49954</v>
      </c>
      <c r="O33" s="116">
        <v>53577</v>
      </c>
      <c r="P33" s="116">
        <v>59046</v>
      </c>
      <c r="Q33" s="38"/>
    </row>
    <row r="34" spans="2:17" x14ac:dyDescent="0.45">
      <c r="K34" s="92" t="s">
        <v>52</v>
      </c>
      <c r="L34" s="116">
        <v>9329</v>
      </c>
      <c r="M34" s="116">
        <v>18221</v>
      </c>
      <c r="N34" s="116">
        <v>11032</v>
      </c>
      <c r="O34" s="116">
        <v>13286</v>
      </c>
      <c r="P34" s="116">
        <v>15463</v>
      </c>
      <c r="Q34" s="38"/>
    </row>
    <row r="35" spans="2:17" x14ac:dyDescent="0.45">
      <c r="K35" s="92" t="s">
        <v>53</v>
      </c>
      <c r="L35" s="116">
        <v>5107</v>
      </c>
      <c r="M35" s="116">
        <v>3600</v>
      </c>
      <c r="N35" s="116">
        <v>2097</v>
      </c>
      <c r="O35" s="116">
        <v>3989</v>
      </c>
      <c r="P35" s="116">
        <v>4612</v>
      </c>
      <c r="Q35" s="38"/>
    </row>
    <row r="36" spans="2:17" ht="14.65" thickBot="1" x14ac:dyDescent="0.5">
      <c r="K36" s="92" t="s">
        <v>54</v>
      </c>
      <c r="L36" s="116">
        <v>34149</v>
      </c>
      <c r="M36" s="116">
        <v>24285</v>
      </c>
      <c r="N36" s="116">
        <v>20836</v>
      </c>
      <c r="O36" s="116">
        <v>21662</v>
      </c>
      <c r="P36" s="116">
        <v>23944</v>
      </c>
      <c r="Q36" s="38"/>
    </row>
    <row r="37" spans="2:17" x14ac:dyDescent="0.45">
      <c r="K37" s="93" t="s">
        <v>55</v>
      </c>
      <c r="L37" s="117">
        <v>129992</v>
      </c>
      <c r="M37" s="117">
        <v>140924</v>
      </c>
      <c r="N37" s="117">
        <v>142859</v>
      </c>
      <c r="O37" s="117">
        <v>145472</v>
      </c>
      <c r="P37" s="117">
        <v>158649</v>
      </c>
      <c r="Q37" s="82"/>
    </row>
    <row r="41" spans="2:17" x14ac:dyDescent="0.45">
      <c r="D41" t="s">
        <v>133</v>
      </c>
      <c r="N41" t="s">
        <v>142</v>
      </c>
    </row>
    <row r="42" spans="2:17" x14ac:dyDescent="0.45">
      <c r="B42" s="41"/>
      <c r="C42" s="121">
        <v>44256</v>
      </c>
      <c r="D42" s="121">
        <v>44621</v>
      </c>
      <c r="E42" s="121">
        <v>44986</v>
      </c>
      <c r="F42" s="121">
        <v>45352</v>
      </c>
      <c r="G42" s="121">
        <v>45717</v>
      </c>
      <c r="K42" s="41"/>
      <c r="L42" s="121">
        <v>44256</v>
      </c>
      <c r="M42" s="121">
        <v>44621</v>
      </c>
      <c r="N42" s="121">
        <v>44986</v>
      </c>
      <c r="O42" s="121">
        <v>45352</v>
      </c>
      <c r="P42" s="121">
        <v>45717</v>
      </c>
      <c r="Q42" s="32"/>
    </row>
    <row r="43" spans="2:17" x14ac:dyDescent="0.45">
      <c r="B43" s="111" t="s">
        <v>25</v>
      </c>
      <c r="C43" s="116">
        <v>1096</v>
      </c>
      <c r="D43" s="116">
        <v>1096</v>
      </c>
      <c r="E43" s="116">
        <v>1098</v>
      </c>
      <c r="F43" s="116">
        <v>1045</v>
      </c>
      <c r="G43" s="116">
        <v>2094</v>
      </c>
      <c r="K43" s="111" t="s">
        <v>25</v>
      </c>
      <c r="L43" s="112">
        <v>543</v>
      </c>
      <c r="M43" s="112">
        <v>543</v>
      </c>
      <c r="N43" s="112">
        <v>543</v>
      </c>
      <c r="O43" s="112">
        <v>543</v>
      </c>
      <c r="P43" s="112">
        <v>543</v>
      </c>
    </row>
    <row r="44" spans="2:17" x14ac:dyDescent="0.45">
      <c r="B44" s="113" t="s">
        <v>26</v>
      </c>
      <c r="C44" s="114">
        <v>53805</v>
      </c>
      <c r="D44" s="114">
        <v>64307</v>
      </c>
      <c r="E44" s="114">
        <v>76570</v>
      </c>
      <c r="F44" s="114">
        <v>73943</v>
      </c>
      <c r="G44" s="114">
        <v>80736</v>
      </c>
      <c r="K44" s="113" t="s">
        <v>26</v>
      </c>
      <c r="L44" s="114">
        <v>59370</v>
      </c>
      <c r="M44" s="114">
        <v>61371</v>
      </c>
      <c r="N44" s="114">
        <v>64862</v>
      </c>
      <c r="O44" s="114">
        <v>67720</v>
      </c>
      <c r="P44" s="114">
        <v>69112</v>
      </c>
    </row>
    <row r="45" spans="2:17" x14ac:dyDescent="0.45">
      <c r="B45" s="122" t="s">
        <v>134</v>
      </c>
      <c r="C45" s="123">
        <v>10451</v>
      </c>
      <c r="D45" s="123">
        <v>17593</v>
      </c>
      <c r="E45" s="123">
        <v>17467</v>
      </c>
      <c r="F45" s="123">
        <v>16465</v>
      </c>
      <c r="G45" s="123">
        <v>19204</v>
      </c>
      <c r="K45" s="122" t="s">
        <v>134</v>
      </c>
      <c r="L45" s="123">
        <v>6864</v>
      </c>
      <c r="M45" s="123">
        <v>6343</v>
      </c>
      <c r="N45" s="123">
        <v>4794</v>
      </c>
      <c r="O45" s="123">
        <v>5758</v>
      </c>
      <c r="P45" s="123">
        <v>6276</v>
      </c>
    </row>
    <row r="46" spans="2:17" x14ac:dyDescent="0.45">
      <c r="B46" s="92" t="s">
        <v>92</v>
      </c>
      <c r="C46" s="112">
        <v>746</v>
      </c>
      <c r="D46" s="116">
        <v>5646</v>
      </c>
      <c r="E46" s="116">
        <v>6127</v>
      </c>
      <c r="F46" s="116">
        <v>6230</v>
      </c>
      <c r="G46" s="116">
        <v>6395</v>
      </c>
      <c r="K46" s="92" t="s">
        <v>92</v>
      </c>
      <c r="L46" s="116">
        <v>3828</v>
      </c>
      <c r="M46" s="116">
        <v>3923</v>
      </c>
      <c r="N46" s="116">
        <v>2111</v>
      </c>
      <c r="O46" s="116">
        <v>2223</v>
      </c>
      <c r="P46" s="112">
        <v>70</v>
      </c>
    </row>
    <row r="47" spans="2:17" x14ac:dyDescent="0.45">
      <c r="B47" s="92" t="s">
        <v>93</v>
      </c>
      <c r="C47" s="116">
        <v>6036</v>
      </c>
      <c r="D47" s="116">
        <v>9523</v>
      </c>
      <c r="E47" s="116">
        <v>8882</v>
      </c>
      <c r="F47" s="116">
        <v>7917</v>
      </c>
      <c r="G47" s="116">
        <v>9786</v>
      </c>
      <c r="K47" s="92" t="s">
        <v>93</v>
      </c>
      <c r="L47" s="112">
        <v>79</v>
      </c>
      <c r="M47" s="112">
        <v>62</v>
      </c>
      <c r="N47" s="112">
        <v>140</v>
      </c>
      <c r="O47" s="112">
        <v>104</v>
      </c>
      <c r="P47" s="116">
        <v>2221</v>
      </c>
    </row>
    <row r="48" spans="2:17" x14ac:dyDescent="0.45">
      <c r="B48" s="92" t="s">
        <v>28</v>
      </c>
      <c r="C48" s="116">
        <v>2118</v>
      </c>
      <c r="D48" s="116">
        <v>2423</v>
      </c>
      <c r="E48" s="116">
        <v>2457</v>
      </c>
      <c r="F48" s="116">
        <v>2318</v>
      </c>
      <c r="G48" s="116">
        <v>3022</v>
      </c>
      <c r="K48" s="92" t="s">
        <v>28</v>
      </c>
      <c r="L48" s="116">
        <v>2594</v>
      </c>
      <c r="M48" s="116">
        <v>2358</v>
      </c>
      <c r="N48" s="116">
        <v>2535</v>
      </c>
      <c r="O48" s="116">
        <v>3429</v>
      </c>
      <c r="P48" s="116">
        <v>3985</v>
      </c>
    </row>
    <row r="49" spans="2:16" x14ac:dyDescent="0.45">
      <c r="B49" s="92" t="s">
        <v>29</v>
      </c>
      <c r="C49" s="116">
        <v>1551</v>
      </c>
      <c r="D49" s="112">
        <v>0</v>
      </c>
      <c r="E49" s="112">
        <v>0</v>
      </c>
      <c r="F49" s="112">
        <v>0</v>
      </c>
      <c r="G49" s="112">
        <v>0</v>
      </c>
      <c r="K49" s="92" t="s">
        <v>29</v>
      </c>
      <c r="L49" s="112">
        <v>363</v>
      </c>
      <c r="M49" s="112">
        <v>0</v>
      </c>
      <c r="N49" s="112">
        <v>8</v>
      </c>
      <c r="O49" s="112">
        <v>2</v>
      </c>
      <c r="P49" s="112">
        <v>0</v>
      </c>
    </row>
    <row r="50" spans="2:16" x14ac:dyDescent="0.45">
      <c r="B50" s="125" t="s">
        <v>135</v>
      </c>
      <c r="C50" s="126">
        <v>17213</v>
      </c>
      <c r="D50" s="126">
        <v>24280</v>
      </c>
      <c r="E50" s="126">
        <v>21789</v>
      </c>
      <c r="F50" s="126">
        <v>23611</v>
      </c>
      <c r="G50" s="126">
        <v>26362</v>
      </c>
      <c r="K50" s="125" t="s">
        <v>135</v>
      </c>
      <c r="L50" s="126">
        <v>19270</v>
      </c>
      <c r="M50" s="126">
        <v>20664</v>
      </c>
      <c r="N50" s="126">
        <v>23051</v>
      </c>
      <c r="O50" s="126">
        <v>24985</v>
      </c>
      <c r="P50" s="126">
        <v>28549</v>
      </c>
    </row>
    <row r="51" spans="2:16" x14ac:dyDescent="0.45">
      <c r="B51" s="94" t="s">
        <v>99</v>
      </c>
      <c r="C51" s="118">
        <v>150</v>
      </c>
      <c r="D51" s="118">
        <v>52</v>
      </c>
      <c r="E51" s="118">
        <v>59</v>
      </c>
      <c r="F51" s="118">
        <v>134</v>
      </c>
      <c r="G51" s="118">
        <v>214</v>
      </c>
      <c r="K51" s="94" t="s">
        <v>99</v>
      </c>
      <c r="L51" s="118">
        <v>169</v>
      </c>
      <c r="M51" s="118">
        <v>92</v>
      </c>
      <c r="N51" s="118">
        <v>-7</v>
      </c>
      <c r="O51" s="118">
        <v>8</v>
      </c>
      <c r="P51" s="118">
        <v>18</v>
      </c>
    </row>
    <row r="52" spans="2:16" x14ac:dyDescent="0.45">
      <c r="B52" s="94" t="s">
        <v>31</v>
      </c>
      <c r="C52" s="114">
        <v>5417</v>
      </c>
      <c r="D52" s="114">
        <v>6252</v>
      </c>
      <c r="E52" s="114">
        <v>5972</v>
      </c>
      <c r="F52" s="114">
        <v>8857</v>
      </c>
      <c r="G52" s="114">
        <v>8825</v>
      </c>
      <c r="K52" s="94" t="s">
        <v>31</v>
      </c>
      <c r="L52" s="114">
        <v>5457</v>
      </c>
      <c r="M52" s="114">
        <v>6278</v>
      </c>
      <c r="N52" s="114">
        <v>6428</v>
      </c>
      <c r="O52" s="114">
        <v>5853</v>
      </c>
      <c r="P52" s="114">
        <v>6225</v>
      </c>
    </row>
    <row r="53" spans="2:16" x14ac:dyDescent="0.45">
      <c r="B53" s="94" t="s">
        <v>32</v>
      </c>
      <c r="C53" s="118">
        <v>36</v>
      </c>
      <c r="D53" s="118">
        <v>63</v>
      </c>
      <c r="E53" s="118">
        <v>64</v>
      </c>
      <c r="F53" s="118">
        <v>119</v>
      </c>
      <c r="G53" s="118">
        <v>79</v>
      </c>
      <c r="K53" s="94" t="s">
        <v>32</v>
      </c>
      <c r="L53" s="118">
        <v>320</v>
      </c>
      <c r="M53" s="118">
        <v>222</v>
      </c>
      <c r="N53" s="118">
        <v>252</v>
      </c>
      <c r="O53" s="118">
        <v>158</v>
      </c>
      <c r="P53" s="118">
        <v>204</v>
      </c>
    </row>
    <row r="54" spans="2:16" x14ac:dyDescent="0.45">
      <c r="B54" s="94" t="s">
        <v>33</v>
      </c>
      <c r="C54" s="114">
        <v>11610</v>
      </c>
      <c r="D54" s="114">
        <v>17913</v>
      </c>
      <c r="E54" s="114">
        <v>15694</v>
      </c>
      <c r="F54" s="114">
        <v>14501</v>
      </c>
      <c r="G54" s="114">
        <v>17244</v>
      </c>
      <c r="K54" s="94" t="s">
        <v>33</v>
      </c>
      <c r="L54" s="114">
        <v>13324</v>
      </c>
      <c r="M54" s="114">
        <v>14072</v>
      </c>
      <c r="N54" s="114">
        <v>16378</v>
      </c>
      <c r="O54" s="114">
        <v>18966</v>
      </c>
      <c r="P54" s="114">
        <v>22102</v>
      </c>
    </row>
    <row r="55" spans="2:16" x14ac:dyDescent="0.45">
      <c r="B55" s="122" t="s">
        <v>34</v>
      </c>
      <c r="C55" s="123">
        <v>82566</v>
      </c>
      <c r="D55" s="123">
        <v>107276</v>
      </c>
      <c r="E55" s="123">
        <v>116924</v>
      </c>
      <c r="F55" s="123">
        <v>115064</v>
      </c>
      <c r="G55" s="123">
        <v>128396</v>
      </c>
      <c r="K55" s="122" t="s">
        <v>34</v>
      </c>
      <c r="L55" s="123">
        <v>86047</v>
      </c>
      <c r="M55" s="123">
        <v>88921</v>
      </c>
      <c r="N55" s="123">
        <v>93250</v>
      </c>
      <c r="O55" s="123">
        <v>99006</v>
      </c>
      <c r="P55" s="123">
        <v>104480</v>
      </c>
    </row>
    <row r="56" spans="2:16" x14ac:dyDescent="0.45">
      <c r="B56" s="125" t="s">
        <v>136</v>
      </c>
      <c r="C56" s="126">
        <v>23040</v>
      </c>
      <c r="D56" s="126">
        <v>37990</v>
      </c>
      <c r="E56" s="126">
        <v>44757</v>
      </c>
      <c r="F56" s="126">
        <v>44083</v>
      </c>
      <c r="G56" s="126">
        <v>45654</v>
      </c>
      <c r="K56" s="125" t="s">
        <v>136</v>
      </c>
      <c r="L56" s="126">
        <v>37145</v>
      </c>
      <c r="M56" s="126">
        <v>35077</v>
      </c>
      <c r="N56" s="126">
        <v>34619</v>
      </c>
      <c r="O56" s="126">
        <v>35063</v>
      </c>
      <c r="P56" s="126">
        <v>36172</v>
      </c>
    </row>
    <row r="57" spans="2:16" x14ac:dyDescent="0.45">
      <c r="B57" s="94" t="s">
        <v>36</v>
      </c>
      <c r="C57" s="118">
        <v>590</v>
      </c>
      <c r="D57" s="118">
        <v>609</v>
      </c>
      <c r="E57" s="118">
        <v>614</v>
      </c>
      <c r="F57" s="118">
        <v>572</v>
      </c>
      <c r="G57" s="118">
        <v>550</v>
      </c>
      <c r="K57" s="94" t="s">
        <v>36</v>
      </c>
      <c r="L57" s="118">
        <v>356</v>
      </c>
      <c r="M57" s="118">
        <v>415</v>
      </c>
      <c r="N57" s="118">
        <v>410</v>
      </c>
      <c r="O57" s="118">
        <v>405</v>
      </c>
      <c r="P57" s="118">
        <v>402</v>
      </c>
    </row>
    <row r="58" spans="2:16" x14ac:dyDescent="0.45">
      <c r="B58" s="94" t="s">
        <v>37</v>
      </c>
      <c r="C58" s="114">
        <v>5806</v>
      </c>
      <c r="D58" s="114">
        <v>6648</v>
      </c>
      <c r="E58" s="114">
        <v>7545</v>
      </c>
      <c r="F58" s="114">
        <v>7548</v>
      </c>
      <c r="G58" s="114">
        <v>8759</v>
      </c>
      <c r="K58" s="94" t="s">
        <v>37</v>
      </c>
      <c r="L58" s="114">
        <v>5246</v>
      </c>
      <c r="M58" s="114">
        <v>5202</v>
      </c>
      <c r="N58" s="114">
        <v>5064</v>
      </c>
      <c r="O58" s="114">
        <v>5614</v>
      </c>
      <c r="P58" s="114">
        <v>5594</v>
      </c>
    </row>
    <row r="59" spans="2:16" x14ac:dyDescent="0.45">
      <c r="B59" s="94" t="s">
        <v>38</v>
      </c>
      <c r="C59" s="114">
        <v>9618</v>
      </c>
      <c r="D59" s="114">
        <v>10074</v>
      </c>
      <c r="E59" s="114">
        <v>12023</v>
      </c>
      <c r="F59" s="114">
        <v>10476</v>
      </c>
      <c r="G59" s="114">
        <v>10500</v>
      </c>
      <c r="K59" s="94" t="s">
        <v>38</v>
      </c>
      <c r="L59" s="114">
        <v>1859</v>
      </c>
      <c r="M59" s="114">
        <v>1946</v>
      </c>
      <c r="N59" s="114">
        <v>1952</v>
      </c>
      <c r="O59" s="114">
        <v>2165</v>
      </c>
      <c r="P59" s="114">
        <v>2268</v>
      </c>
    </row>
    <row r="60" spans="2:16" x14ac:dyDescent="0.45">
      <c r="B60" s="94" t="s">
        <v>39</v>
      </c>
      <c r="C60" s="118">
        <v>686</v>
      </c>
      <c r="D60" s="118">
        <v>726</v>
      </c>
      <c r="E60" s="118">
        <v>782</v>
      </c>
      <c r="F60" s="118">
        <v>751</v>
      </c>
      <c r="G60" s="118">
        <v>766</v>
      </c>
      <c r="K60" s="94" t="s">
        <v>39</v>
      </c>
      <c r="L60" s="118">
        <v>373</v>
      </c>
      <c r="M60" s="118">
        <v>385</v>
      </c>
      <c r="N60" s="118">
        <v>384</v>
      </c>
      <c r="O60" s="118">
        <v>429</v>
      </c>
      <c r="P60" s="118">
        <v>444</v>
      </c>
    </row>
    <row r="61" spans="2:16" x14ac:dyDescent="0.45">
      <c r="B61" s="94" t="s">
        <v>40</v>
      </c>
      <c r="C61" s="114">
        <v>1851</v>
      </c>
      <c r="D61" s="114">
        <v>2516</v>
      </c>
      <c r="E61" s="118">
        <v>0</v>
      </c>
      <c r="F61" s="118">
        <v>0</v>
      </c>
      <c r="G61" s="118">
        <v>0</v>
      </c>
      <c r="K61" s="94" t="s">
        <v>40</v>
      </c>
      <c r="L61" s="114">
        <v>6433</v>
      </c>
      <c r="M61" s="114">
        <v>6972</v>
      </c>
      <c r="N61" s="114">
        <v>8256</v>
      </c>
      <c r="O61" s="114">
        <v>8653</v>
      </c>
      <c r="P61" s="114">
        <v>9048</v>
      </c>
    </row>
    <row r="62" spans="2:16" x14ac:dyDescent="0.45">
      <c r="B62" s="94" t="s">
        <v>41</v>
      </c>
      <c r="C62" s="114">
        <v>1373</v>
      </c>
      <c r="D62" s="114">
        <v>1529</v>
      </c>
      <c r="E62" s="114">
        <v>1799</v>
      </c>
      <c r="F62" s="114">
        <v>1823</v>
      </c>
      <c r="G62" s="114">
        <v>1958</v>
      </c>
      <c r="K62" s="94" t="s">
        <v>41</v>
      </c>
      <c r="L62" s="118">
        <v>925</v>
      </c>
      <c r="M62" s="118">
        <v>939</v>
      </c>
      <c r="N62" s="118">
        <v>952</v>
      </c>
      <c r="O62" s="118">
        <v>985</v>
      </c>
      <c r="P62" s="114">
        <v>1065</v>
      </c>
    </row>
    <row r="63" spans="2:16" x14ac:dyDescent="0.45">
      <c r="B63" s="94" t="s">
        <v>42</v>
      </c>
      <c r="C63" s="118">
        <v>134</v>
      </c>
      <c r="D63" s="118">
        <v>122</v>
      </c>
      <c r="E63" s="118">
        <v>103</v>
      </c>
      <c r="F63" s="118">
        <v>88</v>
      </c>
      <c r="G63" s="118">
        <v>77</v>
      </c>
      <c r="K63" s="94" t="s">
        <v>42</v>
      </c>
      <c r="L63" s="118">
        <v>144</v>
      </c>
      <c r="M63" s="118">
        <v>143</v>
      </c>
      <c r="N63" s="118">
        <v>158</v>
      </c>
      <c r="O63" s="118">
        <v>206</v>
      </c>
      <c r="P63" s="118">
        <v>218</v>
      </c>
    </row>
    <row r="64" spans="2:16" x14ac:dyDescent="0.45">
      <c r="B64" s="94" t="s">
        <v>43</v>
      </c>
      <c r="C64" s="114">
        <v>13515</v>
      </c>
      <c r="D64" s="114">
        <v>24286</v>
      </c>
      <c r="E64" s="114">
        <v>30348</v>
      </c>
      <c r="F64" s="114">
        <v>31600</v>
      </c>
      <c r="G64" s="114">
        <v>32501</v>
      </c>
      <c r="K64" s="94" t="s">
        <v>43</v>
      </c>
      <c r="L64" s="114">
        <v>26221</v>
      </c>
      <c r="M64" s="114">
        <v>26177</v>
      </c>
      <c r="N64" s="114">
        <v>27392</v>
      </c>
      <c r="O64" s="114">
        <v>29013</v>
      </c>
      <c r="P64" s="114">
        <v>31444</v>
      </c>
    </row>
    <row r="65" spans="2:16" x14ac:dyDescent="0.45">
      <c r="B65" s="94" t="s">
        <v>44</v>
      </c>
      <c r="C65" s="114">
        <v>2794</v>
      </c>
      <c r="D65" s="114">
        <v>5479</v>
      </c>
      <c r="E65" s="114">
        <v>6174</v>
      </c>
      <c r="F65" s="114">
        <v>5564</v>
      </c>
      <c r="G65" s="114">
        <v>5218</v>
      </c>
      <c r="K65" s="94" t="s">
        <v>44</v>
      </c>
      <c r="L65" s="114">
        <v>7764</v>
      </c>
      <c r="M65" s="114">
        <v>7910</v>
      </c>
      <c r="N65" s="114">
        <v>8023</v>
      </c>
      <c r="O65" s="114">
        <v>8480</v>
      </c>
      <c r="P65" s="114">
        <v>9291</v>
      </c>
    </row>
    <row r="66" spans="2:16" x14ac:dyDescent="0.45">
      <c r="B66" s="129" t="s">
        <v>45</v>
      </c>
      <c r="C66" s="126">
        <v>36368</v>
      </c>
      <c r="D66" s="126">
        <v>51990</v>
      </c>
      <c r="E66" s="126">
        <v>59388</v>
      </c>
      <c r="F66" s="126">
        <v>58423</v>
      </c>
      <c r="G66" s="126">
        <v>60330</v>
      </c>
      <c r="K66" s="129" t="s">
        <v>45</v>
      </c>
      <c r="L66" s="126">
        <v>49321</v>
      </c>
      <c r="M66" s="126">
        <v>50089</v>
      </c>
      <c r="N66" s="126">
        <v>52591</v>
      </c>
      <c r="O66" s="126">
        <v>55950</v>
      </c>
      <c r="P66" s="126">
        <v>59774</v>
      </c>
    </row>
    <row r="67" spans="2:16" x14ac:dyDescent="0.45">
      <c r="B67" s="94" t="s">
        <v>46</v>
      </c>
      <c r="C67" s="114">
        <v>13327</v>
      </c>
      <c r="D67" s="114">
        <v>14000</v>
      </c>
      <c r="E67" s="114">
        <v>14631</v>
      </c>
      <c r="F67" s="114">
        <v>14339</v>
      </c>
      <c r="G67" s="114">
        <v>14676</v>
      </c>
      <c r="K67" s="94" t="s">
        <v>46</v>
      </c>
      <c r="L67" s="114">
        <v>12176</v>
      </c>
      <c r="M67" s="114">
        <v>15012</v>
      </c>
      <c r="N67" s="114">
        <v>17972</v>
      </c>
      <c r="O67" s="114">
        <v>20887</v>
      </c>
      <c r="P67" s="114">
        <v>23602</v>
      </c>
    </row>
    <row r="68" spans="2:16" x14ac:dyDescent="0.45">
      <c r="B68" s="111" t="s">
        <v>47</v>
      </c>
      <c r="C68" s="116">
        <v>1853</v>
      </c>
      <c r="D68" s="116">
        <v>1602</v>
      </c>
      <c r="E68" s="112">
        <v>617</v>
      </c>
      <c r="F68" s="112">
        <v>748</v>
      </c>
      <c r="G68" s="112">
        <v>221</v>
      </c>
      <c r="K68" s="111" t="s">
        <v>47</v>
      </c>
      <c r="L68" s="112">
        <v>312</v>
      </c>
      <c r="M68" s="112">
        <v>129</v>
      </c>
      <c r="N68" s="112">
        <v>40</v>
      </c>
      <c r="O68" s="112">
        <v>108</v>
      </c>
      <c r="P68" s="112">
        <v>59</v>
      </c>
    </row>
    <row r="69" spans="2:16" x14ac:dyDescent="0.45">
      <c r="B69" s="113" t="s">
        <v>48</v>
      </c>
      <c r="C69" s="114">
        <v>18775</v>
      </c>
      <c r="D69" s="114">
        <v>26154</v>
      </c>
      <c r="E69" s="114">
        <v>33073</v>
      </c>
      <c r="F69" s="114">
        <v>33384</v>
      </c>
      <c r="G69" s="114">
        <v>43926</v>
      </c>
      <c r="K69" s="113" t="s">
        <v>48</v>
      </c>
      <c r="L69" s="114">
        <v>6862</v>
      </c>
      <c r="M69" s="114">
        <v>6351</v>
      </c>
      <c r="N69" s="114">
        <v>5495</v>
      </c>
      <c r="O69" s="114">
        <v>7137</v>
      </c>
      <c r="P69" s="114">
        <v>7564</v>
      </c>
    </row>
    <row r="70" spans="2:16" x14ac:dyDescent="0.45">
      <c r="B70" s="122" t="s">
        <v>137</v>
      </c>
      <c r="C70" s="123">
        <v>38898</v>
      </c>
      <c r="D70" s="123">
        <v>41531</v>
      </c>
      <c r="E70" s="123">
        <v>38477</v>
      </c>
      <c r="F70" s="123">
        <v>36848</v>
      </c>
      <c r="G70" s="123">
        <v>38595</v>
      </c>
      <c r="K70" s="122" t="s">
        <v>137</v>
      </c>
      <c r="L70" s="123">
        <v>41728</v>
      </c>
      <c r="M70" s="123">
        <v>47364</v>
      </c>
      <c r="N70" s="123">
        <v>53096</v>
      </c>
      <c r="O70" s="123">
        <v>56698</v>
      </c>
      <c r="P70" s="123">
        <v>60685</v>
      </c>
    </row>
    <row r="71" spans="2:16" x14ac:dyDescent="0.45">
      <c r="B71" s="92" t="s">
        <v>50</v>
      </c>
      <c r="C71" s="112">
        <v>106</v>
      </c>
      <c r="D71" s="112">
        <v>133</v>
      </c>
      <c r="E71" s="112">
        <v>119</v>
      </c>
      <c r="F71" s="112">
        <v>91</v>
      </c>
      <c r="G71" s="112">
        <v>69</v>
      </c>
      <c r="K71" s="92" t="s">
        <v>50</v>
      </c>
      <c r="L71" s="112">
        <v>94</v>
      </c>
      <c r="M71" s="112">
        <v>161</v>
      </c>
      <c r="N71" s="112">
        <v>228</v>
      </c>
      <c r="O71" s="112">
        <v>185</v>
      </c>
      <c r="P71" s="112">
        <v>133</v>
      </c>
    </row>
    <row r="72" spans="2:16" x14ac:dyDescent="0.45">
      <c r="B72" s="92" t="s">
        <v>51</v>
      </c>
      <c r="C72" s="116">
        <v>9430</v>
      </c>
      <c r="D72" s="116">
        <v>11522</v>
      </c>
      <c r="E72" s="116">
        <v>12635</v>
      </c>
      <c r="F72" s="116">
        <v>11548</v>
      </c>
      <c r="G72" s="116">
        <v>11774</v>
      </c>
      <c r="K72" s="92" t="s">
        <v>51</v>
      </c>
      <c r="L72" s="116">
        <v>17525</v>
      </c>
      <c r="M72" s="116">
        <v>20671</v>
      </c>
      <c r="N72" s="116">
        <v>25506</v>
      </c>
      <c r="O72" s="116">
        <v>25521</v>
      </c>
      <c r="P72" s="116">
        <v>25842</v>
      </c>
    </row>
    <row r="73" spans="2:16" x14ac:dyDescent="0.45">
      <c r="B73" s="92" t="s">
        <v>52</v>
      </c>
      <c r="C73" s="116">
        <v>16979</v>
      </c>
      <c r="D73" s="116">
        <v>10384</v>
      </c>
      <c r="E73" s="116">
        <v>9188</v>
      </c>
      <c r="F73" s="116">
        <v>9695</v>
      </c>
      <c r="G73" s="116">
        <v>12197</v>
      </c>
      <c r="K73" s="92" t="s">
        <v>52</v>
      </c>
      <c r="L73" s="116">
        <v>8888</v>
      </c>
      <c r="M73" s="116">
        <v>12636</v>
      </c>
      <c r="N73" s="116">
        <v>14724</v>
      </c>
      <c r="O73" s="116">
        <v>20150</v>
      </c>
      <c r="P73" s="116">
        <v>21289</v>
      </c>
    </row>
    <row r="74" spans="2:16" x14ac:dyDescent="0.45">
      <c r="B74" s="92" t="s">
        <v>53</v>
      </c>
      <c r="C74" s="116">
        <v>1830</v>
      </c>
      <c r="D74" s="116">
        <v>2294</v>
      </c>
      <c r="E74" s="116">
        <v>2830</v>
      </c>
      <c r="F74" s="116">
        <v>2826</v>
      </c>
      <c r="G74" s="116">
        <v>2662</v>
      </c>
      <c r="K74" s="92" t="s">
        <v>53</v>
      </c>
      <c r="L74" s="116">
        <v>1506</v>
      </c>
      <c r="M74" s="116">
        <v>1819</v>
      </c>
      <c r="N74" s="116">
        <v>1967</v>
      </c>
      <c r="O74" s="116">
        <v>2114</v>
      </c>
      <c r="P74" s="116">
        <v>2753</v>
      </c>
    </row>
    <row r="75" spans="2:16" x14ac:dyDescent="0.45">
      <c r="B75" s="92" t="s">
        <v>54</v>
      </c>
      <c r="C75" s="116">
        <v>10552</v>
      </c>
      <c r="D75" s="116">
        <v>17198</v>
      </c>
      <c r="E75" s="116">
        <v>13705</v>
      </c>
      <c r="F75" s="116">
        <v>12688</v>
      </c>
      <c r="G75" s="116">
        <v>11893</v>
      </c>
      <c r="K75" s="92" t="s">
        <v>54</v>
      </c>
      <c r="L75" s="116">
        <v>13715</v>
      </c>
      <c r="M75" s="116">
        <v>12077</v>
      </c>
      <c r="N75" s="116">
        <v>10671</v>
      </c>
      <c r="O75" s="116">
        <v>8728</v>
      </c>
      <c r="P75" s="116">
        <v>10668</v>
      </c>
    </row>
    <row r="76" spans="2:16" x14ac:dyDescent="0.45">
      <c r="B76" s="125" t="s">
        <v>55</v>
      </c>
      <c r="C76" s="126">
        <v>82566</v>
      </c>
      <c r="D76" s="126">
        <v>107276</v>
      </c>
      <c r="E76" s="126">
        <v>116924</v>
      </c>
      <c r="F76" s="126">
        <v>115064</v>
      </c>
      <c r="G76" s="126">
        <v>128396</v>
      </c>
      <c r="K76" s="125" t="s">
        <v>55</v>
      </c>
      <c r="L76" s="126">
        <v>86047</v>
      </c>
      <c r="M76" s="126">
        <v>88921</v>
      </c>
      <c r="N76" s="126">
        <v>93250</v>
      </c>
      <c r="O76" s="126">
        <v>99006</v>
      </c>
      <c r="P76" s="126">
        <v>104480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5FFD-571D-4FE9-81F9-4BF33FEE3A33}">
  <dimension ref="B4:O69"/>
  <sheetViews>
    <sheetView topLeftCell="A14" zoomScale="55" workbookViewId="0">
      <selection activeCell="M37" sqref="M37"/>
    </sheetView>
  </sheetViews>
  <sheetFormatPr defaultColWidth="8.796875" defaultRowHeight="14.25" x14ac:dyDescent="0.45"/>
  <cols>
    <col min="1" max="1" width="8.796875" customWidth="1"/>
    <col min="2" max="2" width="38.33203125" bestFit="1" customWidth="1"/>
    <col min="3" max="3" width="21.33203125" bestFit="1" customWidth="1"/>
    <col min="4" max="4" width="10.46484375" bestFit="1" customWidth="1"/>
    <col min="5" max="5" width="16.46484375" bestFit="1" customWidth="1"/>
    <col min="6" max="7" width="11" bestFit="1" customWidth="1"/>
    <col min="8" max="9" width="8.1328125" bestFit="1" customWidth="1"/>
    <col min="10" max="10" width="31.6640625" bestFit="1" customWidth="1"/>
    <col min="11" max="12" width="9.46484375" bestFit="1" customWidth="1"/>
    <col min="13" max="13" width="16.6640625" bestFit="1" customWidth="1"/>
    <col min="14" max="17" width="9.46484375" bestFit="1" customWidth="1"/>
    <col min="18" max="18" width="14.33203125" bestFit="1" customWidth="1"/>
    <col min="19" max="27" width="9.46484375" bestFit="1" customWidth="1"/>
  </cols>
  <sheetData>
    <row r="4" spans="2:15" x14ac:dyDescent="0.45">
      <c r="C4" t="s">
        <v>24</v>
      </c>
    </row>
    <row r="5" spans="2:15" x14ac:dyDescent="0.45">
      <c r="M5" t="s">
        <v>87</v>
      </c>
    </row>
    <row r="6" spans="2:15" x14ac:dyDescent="0.45">
      <c r="B6" s="1" t="s">
        <v>0</v>
      </c>
      <c r="C6" s="2">
        <v>44256</v>
      </c>
      <c r="D6" s="2">
        <v>44621</v>
      </c>
      <c r="E6" s="2">
        <v>44986</v>
      </c>
      <c r="F6" s="2">
        <v>45352</v>
      </c>
      <c r="G6" s="2">
        <v>45717</v>
      </c>
      <c r="J6" s="18"/>
      <c r="K6" s="19">
        <v>44256</v>
      </c>
      <c r="L6" s="19">
        <v>44621</v>
      </c>
      <c r="M6" s="19">
        <v>44986</v>
      </c>
      <c r="N6" s="19">
        <v>45352</v>
      </c>
      <c r="O6" s="19">
        <v>45717</v>
      </c>
    </row>
    <row r="7" spans="2:15" x14ac:dyDescent="0.45">
      <c r="B7" s="16" t="s">
        <v>56</v>
      </c>
      <c r="C7" s="17">
        <v>4173</v>
      </c>
      <c r="D7" s="17">
        <v>2020</v>
      </c>
      <c r="E7" s="17">
        <v>2579</v>
      </c>
      <c r="F7" s="17">
        <v>4907</v>
      </c>
      <c r="G7" s="17">
        <v>4182</v>
      </c>
      <c r="J7" s="20" t="s">
        <v>56</v>
      </c>
      <c r="K7" s="21">
        <v>8839</v>
      </c>
      <c r="L7" s="21">
        <v>1791</v>
      </c>
      <c r="M7" s="21">
        <v>9228</v>
      </c>
      <c r="N7" s="21">
        <v>15167</v>
      </c>
      <c r="O7" s="21">
        <v>14012</v>
      </c>
    </row>
    <row r="8" spans="2:15" x14ac:dyDescent="0.45">
      <c r="B8" s="16" t="s">
        <v>57</v>
      </c>
      <c r="C8" s="17">
        <v>4079</v>
      </c>
      <c r="D8" s="17">
        <v>3472</v>
      </c>
      <c r="E8" s="17">
        <v>4012</v>
      </c>
      <c r="F8" s="17">
        <v>5146</v>
      </c>
      <c r="G8" s="17">
        <v>6050</v>
      </c>
      <c r="J8" s="22" t="s">
        <v>57</v>
      </c>
      <c r="K8" s="21">
        <v>5514</v>
      </c>
      <c r="L8" s="21">
        <v>5778</v>
      </c>
      <c r="M8" s="21">
        <v>11081</v>
      </c>
      <c r="N8" s="21">
        <v>16445</v>
      </c>
      <c r="O8" s="21">
        <v>17899</v>
      </c>
    </row>
    <row r="9" spans="2:15" x14ac:dyDescent="0.45">
      <c r="B9" s="3" t="s">
        <v>58</v>
      </c>
      <c r="C9" s="3">
        <v>-869</v>
      </c>
      <c r="D9" s="3">
        <v>122</v>
      </c>
      <c r="E9" s="3">
        <v>-499</v>
      </c>
      <c r="F9" s="3">
        <v>77</v>
      </c>
      <c r="G9" s="3">
        <v>-977</v>
      </c>
      <c r="J9" s="22" t="s">
        <v>58</v>
      </c>
      <c r="K9" s="23">
        <v>697</v>
      </c>
      <c r="L9" s="23">
        <v>-763</v>
      </c>
      <c r="M9" s="21">
        <v>-1257</v>
      </c>
      <c r="N9" s="21">
        <v>-1310</v>
      </c>
      <c r="O9" s="21">
        <v>-1963</v>
      </c>
    </row>
    <row r="10" spans="2:15" x14ac:dyDescent="0.45">
      <c r="B10" s="3" t="s">
        <v>59</v>
      </c>
      <c r="C10" s="3">
        <v>-378</v>
      </c>
      <c r="D10" s="3">
        <v>347</v>
      </c>
      <c r="E10" s="3">
        <v>-311</v>
      </c>
      <c r="F10" s="3">
        <v>-10</v>
      </c>
      <c r="G10" s="3">
        <v>-14</v>
      </c>
      <c r="J10" s="22" t="s">
        <v>59</v>
      </c>
      <c r="K10" s="23">
        <v>165</v>
      </c>
      <c r="L10" s="23">
        <v>-483</v>
      </c>
      <c r="M10" s="23">
        <v>-751</v>
      </c>
      <c r="N10" s="23">
        <v>164</v>
      </c>
      <c r="O10" s="21">
        <v>-1003</v>
      </c>
    </row>
    <row r="11" spans="2:15" x14ac:dyDescent="0.45">
      <c r="B11" s="3" t="s">
        <v>60</v>
      </c>
      <c r="C11" s="4">
        <v>2174</v>
      </c>
      <c r="D11" s="3">
        <v>-944</v>
      </c>
      <c r="E11" s="3">
        <v>444</v>
      </c>
      <c r="F11" s="3">
        <v>824</v>
      </c>
      <c r="G11" s="3">
        <v>38</v>
      </c>
      <c r="J11" s="22" t="s">
        <v>60</v>
      </c>
      <c r="K11" s="21">
        <v>2678</v>
      </c>
      <c r="L11" s="23">
        <v>-394</v>
      </c>
      <c r="M11" s="21">
        <v>2007</v>
      </c>
      <c r="N11" s="21">
        <v>2811</v>
      </c>
      <c r="O11" s="21">
        <v>2835</v>
      </c>
    </row>
    <row r="12" spans="2:15" x14ac:dyDescent="0.45">
      <c r="B12" s="3" t="s">
        <v>61</v>
      </c>
      <c r="C12" s="3">
        <v>-9</v>
      </c>
      <c r="D12" s="3">
        <v>-1</v>
      </c>
      <c r="E12" s="3">
        <v>-3</v>
      </c>
      <c r="F12" s="3">
        <v>-2</v>
      </c>
      <c r="G12" s="3">
        <v>-6</v>
      </c>
      <c r="J12" s="22" t="s">
        <v>61</v>
      </c>
      <c r="K12" s="23">
        <v>-6</v>
      </c>
      <c r="L12" s="23">
        <v>-8</v>
      </c>
      <c r="M12" s="23">
        <v>1</v>
      </c>
      <c r="N12" s="23">
        <v>-3</v>
      </c>
      <c r="O12" s="23">
        <v>-10</v>
      </c>
    </row>
    <row r="13" spans="2:15" x14ac:dyDescent="0.45">
      <c r="B13" s="3" t="s">
        <v>62</v>
      </c>
      <c r="C13" s="3">
        <v>152</v>
      </c>
      <c r="D13" s="3">
        <v>-207</v>
      </c>
      <c r="E13" s="3">
        <v>-214</v>
      </c>
      <c r="F13" s="3">
        <v>186</v>
      </c>
      <c r="G13" s="3">
        <v>626</v>
      </c>
      <c r="J13" s="22" t="s">
        <v>62</v>
      </c>
      <c r="K13" s="23">
        <v>801</v>
      </c>
      <c r="L13" s="21">
        <v>-1163</v>
      </c>
      <c r="M13" s="23">
        <v>379</v>
      </c>
      <c r="N13" s="23">
        <v>615</v>
      </c>
      <c r="O13" s="23">
        <v>36</v>
      </c>
    </row>
    <row r="14" spans="2:15" x14ac:dyDescent="0.45">
      <c r="B14" s="16" t="s">
        <v>63</v>
      </c>
      <c r="C14" s="17">
        <v>1070</v>
      </c>
      <c r="D14" s="16">
        <v>-682</v>
      </c>
      <c r="E14" s="16">
        <v>-583</v>
      </c>
      <c r="F14" s="17">
        <v>1075</v>
      </c>
      <c r="G14" s="16">
        <v>-334</v>
      </c>
      <c r="J14" s="22" t="s">
        <v>63</v>
      </c>
      <c r="K14" s="21">
        <v>4335</v>
      </c>
      <c r="L14" s="21">
        <v>-2810</v>
      </c>
      <c r="M14" s="23">
        <v>379</v>
      </c>
      <c r="N14" s="21">
        <v>2278</v>
      </c>
      <c r="O14" s="23">
        <v>-105</v>
      </c>
    </row>
    <row r="15" spans="2:15" x14ac:dyDescent="0.45">
      <c r="B15" s="3" t="s">
        <v>64</v>
      </c>
      <c r="C15" s="3">
        <v>-976</v>
      </c>
      <c r="D15" s="3">
        <v>-769</v>
      </c>
      <c r="E15" s="3">
        <v>-850</v>
      </c>
      <c r="F15" s="4">
        <v>-1314</v>
      </c>
      <c r="G15" s="4">
        <v>-1534</v>
      </c>
      <c r="J15" s="22" t="s">
        <v>64</v>
      </c>
      <c r="K15" s="21">
        <v>-1011</v>
      </c>
      <c r="L15" s="21">
        <v>-1177</v>
      </c>
      <c r="M15" s="21">
        <v>-2231</v>
      </c>
      <c r="N15" s="21">
        <v>-3556</v>
      </c>
      <c r="O15" s="21">
        <v>-3782</v>
      </c>
    </row>
    <row r="16" spans="2:15" x14ac:dyDescent="0.45">
      <c r="B16" s="16" t="s">
        <v>65</v>
      </c>
      <c r="C16" s="17">
        <v>-2210</v>
      </c>
      <c r="D16" s="16">
        <v>-152</v>
      </c>
      <c r="E16" s="16">
        <v>-469</v>
      </c>
      <c r="F16" s="17">
        <v>-1802</v>
      </c>
      <c r="G16" s="17">
        <v>-1586</v>
      </c>
      <c r="J16" s="20" t="s">
        <v>65</v>
      </c>
      <c r="K16" s="24">
        <v>-7284</v>
      </c>
      <c r="L16" s="25">
        <v>-189</v>
      </c>
      <c r="M16" s="24">
        <v>-8018</v>
      </c>
      <c r="N16" s="24">
        <v>-10683</v>
      </c>
      <c r="O16" s="24">
        <v>-10242</v>
      </c>
    </row>
    <row r="17" spans="2:15" x14ac:dyDescent="0.45">
      <c r="B17" s="3" t="s">
        <v>66</v>
      </c>
      <c r="C17" s="3">
        <v>-515</v>
      </c>
      <c r="D17" s="3">
        <v>-535</v>
      </c>
      <c r="E17" s="3">
        <v>-578</v>
      </c>
      <c r="F17" s="3">
        <v>-720</v>
      </c>
      <c r="G17" s="3">
        <v>-827</v>
      </c>
      <c r="J17" s="26" t="s">
        <v>66</v>
      </c>
      <c r="K17" s="24">
        <v>-2370</v>
      </c>
      <c r="L17" s="24">
        <v>-3459</v>
      </c>
      <c r="M17" s="24">
        <v>-6346</v>
      </c>
      <c r="N17" s="24">
        <v>-7008</v>
      </c>
      <c r="O17" s="24">
        <v>-8733</v>
      </c>
    </row>
    <row r="18" spans="2:15" x14ac:dyDescent="0.45">
      <c r="B18" s="3" t="s">
        <v>67</v>
      </c>
      <c r="C18" s="3">
        <v>4</v>
      </c>
      <c r="D18" s="3">
        <v>11</v>
      </c>
      <c r="E18" s="3">
        <v>10</v>
      </c>
      <c r="F18" s="3">
        <v>9</v>
      </c>
      <c r="G18" s="3">
        <v>17</v>
      </c>
      <c r="J18" s="26" t="s">
        <v>67</v>
      </c>
      <c r="K18" s="25">
        <v>42</v>
      </c>
      <c r="L18" s="25">
        <v>136</v>
      </c>
      <c r="M18" s="25">
        <v>99</v>
      </c>
      <c r="N18" s="25">
        <v>44</v>
      </c>
      <c r="O18" s="25">
        <v>33</v>
      </c>
    </row>
    <row r="19" spans="2:15" x14ac:dyDescent="0.45">
      <c r="B19" s="3" t="s">
        <v>68</v>
      </c>
      <c r="C19" s="4">
        <v>-49374</v>
      </c>
      <c r="D19" s="4">
        <v>-42105</v>
      </c>
      <c r="E19" s="4">
        <v>-44433</v>
      </c>
      <c r="F19" s="4">
        <v>-46585</v>
      </c>
      <c r="G19" s="4">
        <v>-50084</v>
      </c>
      <c r="J19" s="26" t="s">
        <v>68</v>
      </c>
      <c r="K19" s="24">
        <v>-44869</v>
      </c>
      <c r="L19" s="24">
        <v>-60525</v>
      </c>
      <c r="M19" s="24">
        <v>-66597</v>
      </c>
      <c r="N19" s="24">
        <v>-65816</v>
      </c>
      <c r="O19" s="24">
        <v>-61220</v>
      </c>
    </row>
    <row r="20" spans="2:15" x14ac:dyDescent="0.45">
      <c r="B20" s="3" t="s">
        <v>69</v>
      </c>
      <c r="C20" s="4">
        <v>47930</v>
      </c>
      <c r="D20" s="4">
        <v>42428</v>
      </c>
      <c r="E20" s="4">
        <v>45341</v>
      </c>
      <c r="F20" s="4">
        <v>45713</v>
      </c>
      <c r="G20" s="4">
        <v>48918</v>
      </c>
      <c r="J20" s="26" t="s">
        <v>69</v>
      </c>
      <c r="K20" s="24">
        <v>42920</v>
      </c>
      <c r="L20" s="24">
        <v>63579</v>
      </c>
      <c r="M20" s="24">
        <v>61605</v>
      </c>
      <c r="N20" s="24">
        <v>61933</v>
      </c>
      <c r="O20" s="24">
        <v>59844</v>
      </c>
    </row>
    <row r="21" spans="2:15" x14ac:dyDescent="0.45">
      <c r="B21" s="3" t="s">
        <v>70</v>
      </c>
      <c r="C21" s="3">
        <v>95</v>
      </c>
      <c r="D21" s="3">
        <v>186</v>
      </c>
      <c r="E21" s="3">
        <v>256</v>
      </c>
      <c r="F21" s="3">
        <v>296</v>
      </c>
      <c r="G21" s="3">
        <v>441</v>
      </c>
      <c r="J21" s="26" t="s">
        <v>70</v>
      </c>
      <c r="K21" s="25">
        <v>67</v>
      </c>
      <c r="L21" s="25">
        <v>174</v>
      </c>
      <c r="M21" s="25">
        <v>194</v>
      </c>
      <c r="N21" s="25">
        <v>98</v>
      </c>
      <c r="O21" s="25">
        <v>147</v>
      </c>
    </row>
    <row r="22" spans="2:15" x14ac:dyDescent="0.45">
      <c r="B22" s="3" t="s">
        <v>71</v>
      </c>
      <c r="C22" s="3">
        <v>34</v>
      </c>
      <c r="D22" s="3">
        <v>14</v>
      </c>
      <c r="E22" s="3">
        <v>0</v>
      </c>
      <c r="F22" s="3">
        <v>59</v>
      </c>
      <c r="G22" s="3">
        <v>74</v>
      </c>
      <c r="J22" s="26" t="s">
        <v>71</v>
      </c>
      <c r="K22" s="25">
        <v>14</v>
      </c>
      <c r="L22" s="25">
        <v>52</v>
      </c>
      <c r="M22" s="25">
        <v>27</v>
      </c>
      <c r="N22" s="25">
        <v>66</v>
      </c>
      <c r="O22" s="25">
        <v>52</v>
      </c>
    </row>
    <row r="23" spans="2:15" x14ac:dyDescent="0.45">
      <c r="B23" s="3" t="s">
        <v>72</v>
      </c>
      <c r="C23" s="3">
        <v>-14</v>
      </c>
      <c r="D23" s="3">
        <v>0</v>
      </c>
      <c r="E23" s="3">
        <v>0</v>
      </c>
      <c r="F23" s="3">
        <v>-38</v>
      </c>
      <c r="G23" s="3">
        <v>0</v>
      </c>
      <c r="J23" s="26" t="s">
        <v>83</v>
      </c>
      <c r="K23" s="25">
        <v>0</v>
      </c>
      <c r="L23" s="25">
        <v>0</v>
      </c>
      <c r="M23" s="25">
        <v>0</v>
      </c>
      <c r="N23" s="25">
        <v>0</v>
      </c>
      <c r="O23" s="25">
        <v>0</v>
      </c>
    </row>
    <row r="24" spans="2:15" x14ac:dyDescent="0.45">
      <c r="B24" s="3" t="s">
        <v>73</v>
      </c>
      <c r="C24" s="3">
        <v>-368</v>
      </c>
      <c r="D24" s="3">
        <v>-150</v>
      </c>
      <c r="E24" s="3">
        <v>-962</v>
      </c>
      <c r="F24" s="3">
        <v>-639</v>
      </c>
      <c r="G24" s="3">
        <v>-124</v>
      </c>
      <c r="J24" s="26" t="s">
        <v>84</v>
      </c>
      <c r="K24" s="25">
        <v>-87</v>
      </c>
      <c r="L24" s="25">
        <v>-146</v>
      </c>
      <c r="M24" s="25">
        <v>0</v>
      </c>
      <c r="N24" s="25">
        <v>0</v>
      </c>
      <c r="O24" s="25">
        <v>0</v>
      </c>
    </row>
    <row r="25" spans="2:15" x14ac:dyDescent="0.45">
      <c r="B25" s="3" t="s">
        <v>74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J25" s="26" t="s">
        <v>75</v>
      </c>
      <c r="K25" s="24">
        <v>-3000</v>
      </c>
      <c r="L25" s="25">
        <v>0</v>
      </c>
      <c r="M25" s="24">
        <v>3000</v>
      </c>
      <c r="N25" s="25">
        <v>0</v>
      </c>
      <c r="O25" s="25">
        <v>-365</v>
      </c>
    </row>
    <row r="26" spans="2:15" x14ac:dyDescent="0.45">
      <c r="B26" s="3" t="s">
        <v>75</v>
      </c>
      <c r="C26" s="3">
        <v>-2</v>
      </c>
      <c r="D26" s="3">
        <v>-1</v>
      </c>
      <c r="E26" s="3">
        <v>-103</v>
      </c>
      <c r="F26" s="3">
        <v>101</v>
      </c>
      <c r="G26" s="3">
        <v>0</v>
      </c>
      <c r="J26" s="20" t="s">
        <v>76</v>
      </c>
      <c r="K26" s="21">
        <v>-1541</v>
      </c>
      <c r="L26" s="21">
        <v>-1602</v>
      </c>
      <c r="M26" s="21">
        <v>-1208</v>
      </c>
      <c r="N26" s="21">
        <v>-4062</v>
      </c>
      <c r="O26" s="21">
        <v>-4149</v>
      </c>
    </row>
    <row r="27" spans="2:15" x14ac:dyDescent="0.45">
      <c r="B27" s="16" t="s">
        <v>76</v>
      </c>
      <c r="C27" s="17">
        <v>-1941</v>
      </c>
      <c r="D27" s="17">
        <v>-1939</v>
      </c>
      <c r="E27" s="17">
        <v>-2041</v>
      </c>
      <c r="F27" s="17">
        <v>-2733</v>
      </c>
      <c r="G27" s="17">
        <v>-2847</v>
      </c>
      <c r="J27" s="22" t="s">
        <v>85</v>
      </c>
      <c r="K27" s="23">
        <v>382</v>
      </c>
      <c r="L27" s="23">
        <v>0</v>
      </c>
      <c r="M27" s="23">
        <v>834</v>
      </c>
      <c r="N27" s="23">
        <v>0</v>
      </c>
      <c r="O27" s="23">
        <v>0</v>
      </c>
    </row>
    <row r="28" spans="2:15" x14ac:dyDescent="0.45">
      <c r="B28" s="3" t="s">
        <v>77</v>
      </c>
      <c r="C28" s="3">
        <v>8</v>
      </c>
      <c r="D28" s="3">
        <v>5</v>
      </c>
      <c r="E28" s="3">
        <v>3</v>
      </c>
      <c r="F28" s="3">
        <v>10</v>
      </c>
      <c r="G28" s="3">
        <v>7</v>
      </c>
      <c r="J28" s="22" t="s">
        <v>86</v>
      </c>
      <c r="K28" s="23">
        <v>0</v>
      </c>
      <c r="L28" s="23">
        <v>-107</v>
      </c>
      <c r="M28" s="23">
        <v>0</v>
      </c>
      <c r="N28" s="21">
        <v>-1183</v>
      </c>
      <c r="O28" s="23">
        <v>-33</v>
      </c>
    </row>
    <row r="29" spans="2:15" x14ac:dyDescent="0.45">
      <c r="B29" s="3" t="s">
        <v>78</v>
      </c>
      <c r="C29" s="3">
        <v>-22</v>
      </c>
      <c r="D29" s="3">
        <v>-26</v>
      </c>
      <c r="E29" s="3">
        <v>-20</v>
      </c>
      <c r="F29" s="3">
        <v>-18</v>
      </c>
      <c r="G29" s="3">
        <v>-20</v>
      </c>
      <c r="J29" s="22" t="s">
        <v>78</v>
      </c>
      <c r="K29" s="23">
        <v>-101</v>
      </c>
      <c r="L29" s="23">
        <v>-129</v>
      </c>
      <c r="M29" s="23">
        <v>-185</v>
      </c>
      <c r="N29" s="23">
        <v>-147</v>
      </c>
      <c r="O29" s="23">
        <v>-166</v>
      </c>
    </row>
    <row r="30" spans="2:15" x14ac:dyDescent="0.45">
      <c r="B30" s="3" t="s">
        <v>79</v>
      </c>
      <c r="C30" s="4">
        <v>-1898</v>
      </c>
      <c r="D30" s="4">
        <v>-1898</v>
      </c>
      <c r="E30" s="4">
        <v>-1998</v>
      </c>
      <c r="F30" s="4">
        <v>-2699</v>
      </c>
      <c r="G30" s="4">
        <v>-2800</v>
      </c>
      <c r="J30" s="22" t="s">
        <v>79</v>
      </c>
      <c r="K30" s="21">
        <v>-1812</v>
      </c>
      <c r="L30" s="21">
        <v>-1359</v>
      </c>
      <c r="M30" s="21">
        <v>-1812</v>
      </c>
      <c r="N30" s="21">
        <v>-2719</v>
      </c>
      <c r="O30" s="21">
        <v>-3930</v>
      </c>
    </row>
    <row r="31" spans="2:15" x14ac:dyDescent="0.45">
      <c r="B31" s="3" t="s">
        <v>80</v>
      </c>
      <c r="C31" s="3">
        <v>-30</v>
      </c>
      <c r="D31" s="3">
        <v>-20</v>
      </c>
      <c r="E31" s="3">
        <v>-26</v>
      </c>
      <c r="F31" s="3">
        <v>-26</v>
      </c>
      <c r="G31" s="3">
        <v>-34</v>
      </c>
      <c r="J31" s="22" t="s">
        <v>80</v>
      </c>
      <c r="K31" s="23">
        <v>-10</v>
      </c>
      <c r="L31" s="23">
        <v>-7</v>
      </c>
      <c r="M31" s="23">
        <v>-44</v>
      </c>
      <c r="N31" s="23">
        <v>-13</v>
      </c>
      <c r="O31" s="23">
        <v>-20</v>
      </c>
    </row>
    <row r="32" spans="2:15" x14ac:dyDescent="0.45">
      <c r="B32" s="3" t="s">
        <v>81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J32" s="22" t="s">
        <v>81</v>
      </c>
      <c r="K32" s="23">
        <v>0</v>
      </c>
      <c r="L32" s="23">
        <v>0</v>
      </c>
      <c r="M32" s="23">
        <v>0</v>
      </c>
      <c r="N32" s="23">
        <v>0</v>
      </c>
      <c r="O32" s="23">
        <v>0</v>
      </c>
    </row>
    <row r="33" spans="2:15" x14ac:dyDescent="0.45">
      <c r="B33" s="16" t="s">
        <v>82</v>
      </c>
      <c r="C33" s="16">
        <v>21</v>
      </c>
      <c r="D33" s="16">
        <v>-71</v>
      </c>
      <c r="E33" s="16">
        <v>70</v>
      </c>
      <c r="F33" s="16">
        <v>372</v>
      </c>
      <c r="G33" s="16">
        <v>-251</v>
      </c>
      <c r="J33" s="26" t="s">
        <v>82</v>
      </c>
      <c r="K33" s="25">
        <v>14</v>
      </c>
      <c r="L33" s="25">
        <v>0</v>
      </c>
      <c r="M33" s="25">
        <v>1</v>
      </c>
      <c r="N33" s="25">
        <v>422</v>
      </c>
      <c r="O33" s="25">
        <v>-378</v>
      </c>
    </row>
    <row r="37" spans="2:15" x14ac:dyDescent="0.45">
      <c r="C37" t="s">
        <v>111</v>
      </c>
      <c r="M37" t="s">
        <v>98</v>
      </c>
    </row>
    <row r="38" spans="2:15" ht="17.25" x14ac:dyDescent="0.45">
      <c r="B38" s="41"/>
      <c r="C38" s="42">
        <v>44256</v>
      </c>
      <c r="D38" s="42">
        <v>44621</v>
      </c>
      <c r="E38" s="42">
        <v>44986</v>
      </c>
      <c r="F38" s="42">
        <v>45352</v>
      </c>
      <c r="G38" s="42">
        <v>45717</v>
      </c>
      <c r="J38" s="87"/>
      <c r="K38" s="73">
        <v>44256</v>
      </c>
      <c r="L38" s="73">
        <v>44621</v>
      </c>
      <c r="M38" s="73">
        <v>44986</v>
      </c>
      <c r="N38" s="73">
        <v>45352</v>
      </c>
      <c r="O38" s="88">
        <v>45717</v>
      </c>
    </row>
    <row r="39" spans="2:15" x14ac:dyDescent="0.45">
      <c r="B39" s="43" t="s">
        <v>118</v>
      </c>
      <c r="C39" s="44">
        <v>17909</v>
      </c>
      <c r="D39" s="44">
        <v>9248</v>
      </c>
      <c r="E39" s="44">
        <v>-7074</v>
      </c>
      <c r="F39" s="44">
        <v>-5630</v>
      </c>
      <c r="G39" s="44">
        <v>3176</v>
      </c>
      <c r="J39" s="52" t="s">
        <v>56</v>
      </c>
      <c r="K39" s="74">
        <v>1151</v>
      </c>
      <c r="L39" s="74">
        <v>-1575</v>
      </c>
      <c r="M39" s="74">
        <v>-4405</v>
      </c>
      <c r="N39" s="74">
        <v>-1253</v>
      </c>
      <c r="O39" s="74">
        <v>3503</v>
      </c>
    </row>
    <row r="40" spans="2:15" x14ac:dyDescent="0.45">
      <c r="B40" s="47" t="s">
        <v>57</v>
      </c>
      <c r="C40" s="44">
        <v>7588</v>
      </c>
      <c r="D40" s="44">
        <v>10515</v>
      </c>
      <c r="E40" s="44">
        <v>15642</v>
      </c>
      <c r="F40" s="44">
        <v>17541</v>
      </c>
      <c r="G40" s="44">
        <v>22050</v>
      </c>
      <c r="J40" s="45" t="s">
        <v>57</v>
      </c>
      <c r="K40" s="74">
        <v>1559</v>
      </c>
      <c r="L40" s="74">
        <v>1919</v>
      </c>
      <c r="M40" s="74">
        <v>2931</v>
      </c>
      <c r="N40" s="74">
        <v>3974</v>
      </c>
      <c r="O40" s="74">
        <v>4966</v>
      </c>
    </row>
    <row r="41" spans="2:15" x14ac:dyDescent="0.45">
      <c r="B41" s="45" t="s">
        <v>58</v>
      </c>
      <c r="C41" s="49">
        <v>4896</v>
      </c>
      <c r="D41" s="49">
        <v>-2506</v>
      </c>
      <c r="E41" s="49">
        <v>-21702</v>
      </c>
      <c r="F41" s="49">
        <v>-21777</v>
      </c>
      <c r="G41" s="49">
        <v>-20952</v>
      </c>
      <c r="J41" s="45" t="s">
        <v>58</v>
      </c>
      <c r="K41" s="80">
        <v>399</v>
      </c>
      <c r="L41" s="80">
        <v>-143</v>
      </c>
      <c r="M41" s="80">
        <v>-95</v>
      </c>
      <c r="N41" s="80">
        <v>-590</v>
      </c>
      <c r="O41" s="80">
        <v>110</v>
      </c>
    </row>
    <row r="42" spans="2:15" x14ac:dyDescent="0.45">
      <c r="B42" s="45" t="s">
        <v>59</v>
      </c>
      <c r="C42" s="50">
        <v>226</v>
      </c>
      <c r="D42" s="49">
        <v>-2173</v>
      </c>
      <c r="E42" s="49">
        <v>-5252</v>
      </c>
      <c r="F42" s="49">
        <v>-1753</v>
      </c>
      <c r="G42" s="49">
        <v>-1646</v>
      </c>
      <c r="J42" s="45" t="s">
        <v>59</v>
      </c>
      <c r="K42" s="80">
        <v>-179</v>
      </c>
      <c r="L42" s="80">
        <v>-275</v>
      </c>
      <c r="M42" s="80">
        <v>-314</v>
      </c>
      <c r="N42" s="80">
        <v>-327</v>
      </c>
      <c r="O42" s="80">
        <v>-168</v>
      </c>
    </row>
    <row r="43" spans="2:15" x14ac:dyDescent="0.45">
      <c r="B43" s="45" t="s">
        <v>60</v>
      </c>
      <c r="C43" s="49">
        <v>7049</v>
      </c>
      <c r="D43" s="49">
        <v>4972</v>
      </c>
      <c r="E43" s="49">
        <v>7013</v>
      </c>
      <c r="F43" s="49">
        <v>4354</v>
      </c>
      <c r="G43" s="49">
        <v>8485</v>
      </c>
      <c r="J43" s="45" t="s">
        <v>60</v>
      </c>
      <c r="K43" s="74">
        <v>1114</v>
      </c>
      <c r="L43" s="80">
        <v>366</v>
      </c>
      <c r="M43" s="80">
        <v>517</v>
      </c>
      <c r="N43" s="74">
        <v>1538</v>
      </c>
      <c r="O43" s="80">
        <v>924</v>
      </c>
    </row>
    <row r="44" spans="2:15" x14ac:dyDescent="0.45">
      <c r="B44" s="45" t="s">
        <v>61</v>
      </c>
      <c r="C44" s="50">
        <v>0</v>
      </c>
      <c r="D44" s="50">
        <v>0</v>
      </c>
      <c r="E44" s="50">
        <v>0</v>
      </c>
      <c r="F44" s="50">
        <v>0</v>
      </c>
      <c r="G44" s="50">
        <v>0</v>
      </c>
      <c r="J44" s="45" t="s">
        <v>61</v>
      </c>
      <c r="K44" s="74">
        <v>-1701</v>
      </c>
      <c r="L44" s="74">
        <v>-2860</v>
      </c>
      <c r="M44" s="74">
        <v>-6531</v>
      </c>
      <c r="N44" s="74">
        <v>-4925</v>
      </c>
      <c r="O44" s="80">
        <v>-829</v>
      </c>
    </row>
    <row r="45" spans="2:15" x14ac:dyDescent="0.45">
      <c r="B45" s="45" t="s">
        <v>62</v>
      </c>
      <c r="C45" s="50">
        <v>0</v>
      </c>
      <c r="D45" s="50">
        <v>0</v>
      </c>
      <c r="E45" s="50">
        <v>0</v>
      </c>
      <c r="F45" s="50">
        <v>0</v>
      </c>
      <c r="G45" s="50">
        <v>0</v>
      </c>
      <c r="J45" s="45" t="s">
        <v>62</v>
      </c>
      <c r="K45" s="80">
        <v>210</v>
      </c>
      <c r="L45" s="80">
        <v>-217</v>
      </c>
      <c r="M45" s="80">
        <v>-305</v>
      </c>
      <c r="N45" s="80">
        <v>37</v>
      </c>
      <c r="O45" s="80">
        <v>-354</v>
      </c>
    </row>
    <row r="46" spans="2:15" x14ac:dyDescent="0.45">
      <c r="B46" s="47" t="s">
        <v>63</v>
      </c>
      <c r="C46" s="44">
        <v>12171</v>
      </c>
      <c r="D46" s="53">
        <v>293</v>
      </c>
      <c r="E46" s="44">
        <v>-19941</v>
      </c>
      <c r="F46" s="44">
        <v>-19175</v>
      </c>
      <c r="G46" s="44">
        <v>-14113</v>
      </c>
      <c r="J46" s="45" t="s">
        <v>63</v>
      </c>
      <c r="K46" s="80">
        <v>-157</v>
      </c>
      <c r="L46" s="74">
        <v>-3128</v>
      </c>
      <c r="M46" s="74">
        <v>-6727</v>
      </c>
      <c r="N46" s="74">
        <v>-4268</v>
      </c>
      <c r="O46" s="80">
        <v>-316</v>
      </c>
    </row>
    <row r="47" spans="2:15" x14ac:dyDescent="0.45">
      <c r="B47" s="45" t="s">
        <v>64</v>
      </c>
      <c r="C47" s="49">
        <v>-1850</v>
      </c>
      <c r="D47" s="49">
        <v>-1560</v>
      </c>
      <c r="E47" s="49">
        <v>-2775</v>
      </c>
      <c r="F47" s="49">
        <v>-3996</v>
      </c>
      <c r="G47" s="49">
        <v>-4761</v>
      </c>
      <c r="J47" s="45" t="s">
        <v>64</v>
      </c>
      <c r="K47" s="80">
        <v>-251</v>
      </c>
      <c r="L47" s="80">
        <v>-366</v>
      </c>
      <c r="M47" s="80">
        <v>-608</v>
      </c>
      <c r="N47" s="80">
        <v>-959</v>
      </c>
      <c r="O47" s="74">
        <v>-1147</v>
      </c>
    </row>
    <row r="48" spans="2:15" x14ac:dyDescent="0.45">
      <c r="B48" s="43" t="s">
        <v>119</v>
      </c>
      <c r="C48" s="44">
        <v>-19686</v>
      </c>
      <c r="D48" s="44">
        <v>-3252</v>
      </c>
      <c r="E48" s="44">
        <v>-8866</v>
      </c>
      <c r="F48" s="44">
        <v>-5615</v>
      </c>
      <c r="G48" s="44">
        <v>-18616</v>
      </c>
      <c r="J48" s="52" t="s">
        <v>65</v>
      </c>
      <c r="K48" s="80">
        <v>-882</v>
      </c>
      <c r="L48" s="74">
        <v>-1471</v>
      </c>
      <c r="M48" s="74">
        <v>-1308</v>
      </c>
      <c r="N48" s="74">
        <v>-1481</v>
      </c>
      <c r="O48" s="74">
        <v>-2899</v>
      </c>
    </row>
    <row r="49" spans="2:15" x14ac:dyDescent="0.45">
      <c r="B49" s="45" t="s">
        <v>66</v>
      </c>
      <c r="C49" s="49">
        <v>-5989</v>
      </c>
      <c r="D49" s="49">
        <v>-6040</v>
      </c>
      <c r="E49" s="49">
        <v>-6305</v>
      </c>
      <c r="F49" s="49">
        <v>-9946</v>
      </c>
      <c r="G49" s="49">
        <v>-10392</v>
      </c>
      <c r="J49" s="45" t="s">
        <v>66</v>
      </c>
      <c r="K49" s="80">
        <v>-928</v>
      </c>
      <c r="L49" s="80">
        <v>-970</v>
      </c>
      <c r="M49" s="74">
        <v>-1341</v>
      </c>
      <c r="N49" s="74">
        <v>-1145</v>
      </c>
      <c r="O49" s="74">
        <v>-2478</v>
      </c>
    </row>
    <row r="50" spans="2:15" x14ac:dyDescent="0.45">
      <c r="B50" s="45" t="s">
        <v>67</v>
      </c>
      <c r="C50" s="49">
        <v>1364</v>
      </c>
      <c r="D50" s="50">
        <v>120</v>
      </c>
      <c r="E50" s="50">
        <v>138</v>
      </c>
      <c r="F50" s="50">
        <v>273</v>
      </c>
      <c r="G50" s="50">
        <v>583</v>
      </c>
      <c r="J50" s="45" t="s">
        <v>67</v>
      </c>
      <c r="K50" s="80">
        <v>3</v>
      </c>
      <c r="L50" s="80">
        <v>14</v>
      </c>
      <c r="M50" s="80">
        <v>22</v>
      </c>
      <c r="N50" s="80">
        <v>35</v>
      </c>
      <c r="O50" s="80">
        <v>19</v>
      </c>
    </row>
    <row r="51" spans="2:15" x14ac:dyDescent="0.45">
      <c r="B51" s="45" t="s">
        <v>68</v>
      </c>
      <c r="C51" s="49">
        <v>-120055</v>
      </c>
      <c r="D51" s="49">
        <v>-65421</v>
      </c>
      <c r="E51" s="49">
        <v>-50165</v>
      </c>
      <c r="F51" s="49">
        <v>-49927</v>
      </c>
      <c r="G51" s="49">
        <v>-90595</v>
      </c>
      <c r="J51" s="45" t="s">
        <v>104</v>
      </c>
      <c r="K51" s="80">
        <v>0</v>
      </c>
      <c r="L51" s="80">
        <v>0</v>
      </c>
      <c r="M51" s="80">
        <v>0</v>
      </c>
      <c r="N51" s="80">
        <v>0</v>
      </c>
      <c r="O51" s="80">
        <v>0</v>
      </c>
    </row>
    <row r="52" spans="2:15" x14ac:dyDescent="0.45">
      <c r="B52" s="45" t="s">
        <v>69</v>
      </c>
      <c r="C52" s="49">
        <v>111749</v>
      </c>
      <c r="D52" s="49">
        <v>65127</v>
      </c>
      <c r="E52" s="49">
        <v>46269</v>
      </c>
      <c r="F52" s="49">
        <v>50919</v>
      </c>
      <c r="G52" s="49">
        <v>85257</v>
      </c>
      <c r="J52" s="45" t="s">
        <v>68</v>
      </c>
      <c r="K52" s="80">
        <v>-6</v>
      </c>
      <c r="L52" s="80">
        <v>-147</v>
      </c>
      <c r="M52" s="80">
        <v>-266</v>
      </c>
      <c r="N52" s="80">
        <v>-223</v>
      </c>
      <c r="O52" s="80">
        <v>-428</v>
      </c>
    </row>
    <row r="53" spans="2:15" x14ac:dyDescent="0.45">
      <c r="B53" s="45" t="s">
        <v>70</v>
      </c>
      <c r="C53" s="50">
        <v>431</v>
      </c>
      <c r="D53" s="50">
        <v>420</v>
      </c>
      <c r="E53" s="50">
        <v>464</v>
      </c>
      <c r="F53" s="50">
        <v>703</v>
      </c>
      <c r="G53" s="50">
        <v>884</v>
      </c>
      <c r="J53" s="45" t="s">
        <v>69</v>
      </c>
      <c r="K53" s="80">
        <v>17</v>
      </c>
      <c r="L53" s="80">
        <v>87</v>
      </c>
      <c r="M53" s="80">
        <v>0</v>
      </c>
      <c r="N53" s="80">
        <v>48</v>
      </c>
      <c r="O53" s="80">
        <v>56</v>
      </c>
    </row>
    <row r="54" spans="2:15" x14ac:dyDescent="0.45">
      <c r="B54" s="45" t="s">
        <v>71</v>
      </c>
      <c r="C54" s="50">
        <v>577</v>
      </c>
      <c r="D54" s="49">
        <v>1247</v>
      </c>
      <c r="E54" s="49">
        <v>1397</v>
      </c>
      <c r="F54" s="49">
        <v>1213</v>
      </c>
      <c r="G54" s="49">
        <v>1374</v>
      </c>
      <c r="J54" s="45" t="s">
        <v>70</v>
      </c>
      <c r="K54" s="80">
        <v>29</v>
      </c>
      <c r="L54" s="80">
        <v>8</v>
      </c>
      <c r="M54" s="80">
        <v>13</v>
      </c>
      <c r="N54" s="80">
        <v>24</v>
      </c>
      <c r="O54" s="80">
        <v>26</v>
      </c>
    </row>
    <row r="55" spans="2:15" x14ac:dyDescent="0.45">
      <c r="B55" s="45" t="s">
        <v>73</v>
      </c>
      <c r="C55" s="50">
        <v>-359</v>
      </c>
      <c r="D55" s="50">
        <v>-222</v>
      </c>
      <c r="E55" s="50">
        <v>-62</v>
      </c>
      <c r="F55" s="50">
        <v>-249</v>
      </c>
      <c r="G55" s="50">
        <v>-29</v>
      </c>
      <c r="J55" s="45" t="s">
        <v>71</v>
      </c>
      <c r="K55" s="80">
        <v>0</v>
      </c>
      <c r="L55" s="80">
        <v>4</v>
      </c>
      <c r="M55" s="80">
        <v>0</v>
      </c>
      <c r="N55" s="80">
        <v>0</v>
      </c>
      <c r="O55" s="80">
        <v>0</v>
      </c>
    </row>
    <row r="56" spans="2:15" x14ac:dyDescent="0.45">
      <c r="B56" s="45" t="s">
        <v>120</v>
      </c>
      <c r="C56" s="50">
        <v>0</v>
      </c>
      <c r="D56" s="50">
        <v>0</v>
      </c>
      <c r="E56" s="50">
        <v>0</v>
      </c>
      <c r="F56" s="50">
        <v>0</v>
      </c>
      <c r="G56" s="50">
        <v>0</v>
      </c>
      <c r="J56" s="45" t="s">
        <v>73</v>
      </c>
      <c r="K56" s="80">
        <v>0</v>
      </c>
      <c r="L56" s="80">
        <v>0</v>
      </c>
      <c r="M56" s="80">
        <v>-87</v>
      </c>
      <c r="N56" s="80">
        <v>-388</v>
      </c>
      <c r="O56" s="80">
        <v>-98</v>
      </c>
    </row>
    <row r="57" spans="2:15" x14ac:dyDescent="0.45">
      <c r="B57" s="45" t="s">
        <v>83</v>
      </c>
      <c r="C57" s="50">
        <v>316</v>
      </c>
      <c r="D57" s="50">
        <v>617</v>
      </c>
      <c r="E57" s="49">
        <v>1863</v>
      </c>
      <c r="F57" s="49">
        <v>1043</v>
      </c>
      <c r="G57" s="50">
        <v>620</v>
      </c>
      <c r="J57" s="45" t="s">
        <v>83</v>
      </c>
      <c r="K57" s="80">
        <v>0</v>
      </c>
      <c r="L57" s="80">
        <v>0</v>
      </c>
      <c r="M57" s="80">
        <v>0</v>
      </c>
      <c r="N57" s="80">
        <v>169</v>
      </c>
      <c r="O57" s="80">
        <v>4</v>
      </c>
    </row>
    <row r="58" spans="2:15" x14ac:dyDescent="0.45">
      <c r="B58" s="45" t="s">
        <v>84</v>
      </c>
      <c r="C58" s="50">
        <v>0</v>
      </c>
      <c r="D58" s="50">
        <v>-42</v>
      </c>
      <c r="E58" s="50">
        <v>-587</v>
      </c>
      <c r="F58" s="50">
        <v>-53</v>
      </c>
      <c r="G58" s="50">
        <v>0</v>
      </c>
      <c r="J58" s="45" t="s">
        <v>84</v>
      </c>
      <c r="K58" s="80">
        <v>-53</v>
      </c>
      <c r="L58" s="80">
        <v>-75</v>
      </c>
      <c r="M58" s="80">
        <v>0</v>
      </c>
      <c r="N58" s="80">
        <v>0</v>
      </c>
      <c r="O58" s="80">
        <v>0</v>
      </c>
    </row>
    <row r="59" spans="2:15" x14ac:dyDescent="0.45">
      <c r="B59" s="45" t="s">
        <v>74</v>
      </c>
      <c r="C59" s="50">
        <v>-262</v>
      </c>
      <c r="D59" s="50">
        <v>-552</v>
      </c>
      <c r="E59" s="50">
        <v>-93</v>
      </c>
      <c r="F59" s="50">
        <v>485</v>
      </c>
      <c r="G59" s="50">
        <v>-244</v>
      </c>
      <c r="J59" s="45" t="s">
        <v>75</v>
      </c>
      <c r="K59" s="80">
        <v>55</v>
      </c>
      <c r="L59" s="80">
        <v>-392</v>
      </c>
      <c r="M59" s="80">
        <v>351</v>
      </c>
      <c r="N59" s="80">
        <v>0</v>
      </c>
      <c r="O59" s="80">
        <v>0</v>
      </c>
    </row>
    <row r="60" spans="2:15" x14ac:dyDescent="0.45">
      <c r="B60" s="45" t="s">
        <v>75</v>
      </c>
      <c r="C60" s="49">
        <v>-7457</v>
      </c>
      <c r="D60" s="49">
        <v>1494</v>
      </c>
      <c r="E60" s="49">
        <v>-1786</v>
      </c>
      <c r="F60" s="50">
        <v>-78</v>
      </c>
      <c r="G60" s="49">
        <v>-6075</v>
      </c>
      <c r="J60" s="52" t="s">
        <v>76</v>
      </c>
      <c r="K60" s="80">
        <v>264</v>
      </c>
      <c r="L60" s="74">
        <v>2918</v>
      </c>
      <c r="M60" s="74">
        <v>6118</v>
      </c>
      <c r="N60" s="74">
        <v>3239</v>
      </c>
      <c r="O60" s="74">
        <v>1155</v>
      </c>
    </row>
    <row r="61" spans="2:15" x14ac:dyDescent="0.45">
      <c r="B61" s="43" t="s">
        <v>121</v>
      </c>
      <c r="C61" s="53">
        <v>406</v>
      </c>
      <c r="D61" s="44">
        <v>-5883</v>
      </c>
      <c r="E61" s="44">
        <v>15946</v>
      </c>
      <c r="F61" s="44">
        <v>12281</v>
      </c>
      <c r="G61" s="44">
        <v>15834</v>
      </c>
      <c r="J61" s="45" t="s">
        <v>85</v>
      </c>
      <c r="K61" s="74">
        <v>1271</v>
      </c>
      <c r="L61" s="74">
        <v>3353</v>
      </c>
      <c r="M61" s="74">
        <v>6588</v>
      </c>
      <c r="N61" s="74">
        <v>3844</v>
      </c>
      <c r="O61" s="74">
        <v>2328</v>
      </c>
    </row>
    <row r="62" spans="2:15" x14ac:dyDescent="0.45">
      <c r="B62" s="45" t="s">
        <v>77</v>
      </c>
      <c r="C62" s="50">
        <v>1</v>
      </c>
      <c r="D62" s="50">
        <v>1</v>
      </c>
      <c r="E62" s="50">
        <v>1</v>
      </c>
      <c r="F62" s="50">
        <v>1</v>
      </c>
      <c r="G62" s="50">
        <v>1</v>
      </c>
      <c r="J62" s="45" t="s">
        <v>86</v>
      </c>
      <c r="K62" s="80">
        <v>-673</v>
      </c>
      <c r="L62" s="80">
        <v>0</v>
      </c>
      <c r="M62" s="80">
        <v>0</v>
      </c>
      <c r="N62" s="80">
        <v>-182</v>
      </c>
      <c r="O62" s="80">
        <v>0</v>
      </c>
    </row>
    <row r="63" spans="2:15" x14ac:dyDescent="0.45">
      <c r="B63" s="45" t="s">
        <v>85</v>
      </c>
      <c r="C63" s="49">
        <v>38100</v>
      </c>
      <c r="D63" s="49">
        <v>53880</v>
      </c>
      <c r="E63" s="49">
        <v>55622</v>
      </c>
      <c r="F63" s="49">
        <v>61308</v>
      </c>
      <c r="G63" s="49">
        <v>82590</v>
      </c>
      <c r="J63" s="45" t="s">
        <v>105</v>
      </c>
      <c r="K63" s="80">
        <v>0</v>
      </c>
      <c r="L63" s="80">
        <v>0</v>
      </c>
      <c r="M63" s="80">
        <v>0</v>
      </c>
      <c r="N63" s="80">
        <v>0</v>
      </c>
      <c r="O63" s="80">
        <v>0</v>
      </c>
    </row>
    <row r="64" spans="2:15" x14ac:dyDescent="0.45">
      <c r="B64" s="45" t="s">
        <v>86</v>
      </c>
      <c r="C64" s="49">
        <v>-37505</v>
      </c>
      <c r="D64" s="49">
        <v>-57223</v>
      </c>
      <c r="E64" s="49">
        <v>-37056</v>
      </c>
      <c r="F64" s="49">
        <v>-46805</v>
      </c>
      <c r="G64" s="49">
        <v>-64689</v>
      </c>
      <c r="J64" s="45" t="s">
        <v>78</v>
      </c>
      <c r="K64" s="80">
        <v>-127</v>
      </c>
      <c r="L64" s="80">
        <v>-156</v>
      </c>
      <c r="M64" s="80">
        <v>-112</v>
      </c>
      <c r="N64" s="80">
        <v>-284</v>
      </c>
      <c r="O64" s="80">
        <v>-407</v>
      </c>
    </row>
    <row r="65" spans="2:15" x14ac:dyDescent="0.45">
      <c r="B65" s="45" t="s">
        <v>78</v>
      </c>
      <c r="C65" s="50">
        <v>-809</v>
      </c>
      <c r="D65" s="50">
        <v>-680</v>
      </c>
      <c r="E65" s="50">
        <v>-734</v>
      </c>
      <c r="F65" s="50">
        <v>-597</v>
      </c>
      <c r="G65" s="50">
        <v>-436</v>
      </c>
      <c r="J65" s="45" t="s">
        <v>79</v>
      </c>
      <c r="K65" s="80">
        <v>-100</v>
      </c>
      <c r="L65" s="80">
        <v>-190</v>
      </c>
      <c r="M65" s="80">
        <v>-292</v>
      </c>
      <c r="N65" s="80">
        <v>-380</v>
      </c>
      <c r="O65" s="80">
        <v>-475</v>
      </c>
    </row>
    <row r="66" spans="2:15" x14ac:dyDescent="0.45">
      <c r="B66" s="45" t="s">
        <v>79</v>
      </c>
      <c r="C66" s="50">
        <v>-271</v>
      </c>
      <c r="D66" s="49">
        <v>-1037</v>
      </c>
      <c r="E66" s="49">
        <v>-1522</v>
      </c>
      <c r="F66" s="49">
        <v>-2247</v>
      </c>
      <c r="G66" s="49">
        <v>-2806</v>
      </c>
      <c r="J66" s="45" t="s">
        <v>80</v>
      </c>
      <c r="K66" s="80">
        <v>-52</v>
      </c>
      <c r="L66" s="80">
        <v>-82</v>
      </c>
      <c r="M66" s="80">
        <v>-128</v>
      </c>
      <c r="N66" s="80">
        <v>-196</v>
      </c>
      <c r="O66" s="80">
        <v>-238</v>
      </c>
    </row>
    <row r="67" spans="2:15" x14ac:dyDescent="0.45">
      <c r="B67" s="45" t="s">
        <v>80</v>
      </c>
      <c r="C67" s="50">
        <v>-553</v>
      </c>
      <c r="D67" s="50">
        <v>-583</v>
      </c>
      <c r="E67" s="50">
        <v>-751</v>
      </c>
      <c r="F67" s="50">
        <v>-786</v>
      </c>
      <c r="G67" s="50">
        <v>-887</v>
      </c>
      <c r="J67" s="45" t="s">
        <v>81</v>
      </c>
      <c r="K67" s="80">
        <v>-55</v>
      </c>
      <c r="L67" s="80">
        <v>-7</v>
      </c>
      <c r="M67" s="80">
        <v>62</v>
      </c>
      <c r="N67" s="80">
        <v>436</v>
      </c>
      <c r="O67" s="80">
        <v>-53</v>
      </c>
    </row>
    <row r="68" spans="2:15" x14ac:dyDescent="0.45">
      <c r="B68" s="45" t="s">
        <v>81</v>
      </c>
      <c r="C68" s="49">
        <v>1444</v>
      </c>
      <c r="D68" s="50">
        <v>-240</v>
      </c>
      <c r="E68" s="50">
        <v>386</v>
      </c>
      <c r="F68" s="49">
        <v>1408</v>
      </c>
      <c r="G68" s="49">
        <v>2062</v>
      </c>
      <c r="J68" s="52" t="s">
        <v>82</v>
      </c>
      <c r="K68" s="80">
        <v>532</v>
      </c>
      <c r="L68" s="80">
        <v>-128</v>
      </c>
      <c r="M68" s="80">
        <v>406</v>
      </c>
      <c r="N68" s="80">
        <v>505</v>
      </c>
      <c r="O68" s="74">
        <v>1759</v>
      </c>
    </row>
    <row r="69" spans="2:15" x14ac:dyDescent="0.45">
      <c r="B69" s="43" t="s">
        <v>82</v>
      </c>
      <c r="C69" s="44">
        <v>-1370</v>
      </c>
      <c r="D69" s="53">
        <v>113</v>
      </c>
      <c r="E69" s="53">
        <v>6</v>
      </c>
      <c r="F69" s="44">
        <v>1037</v>
      </c>
      <c r="G69" s="53">
        <v>394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7305-7A48-4A29-9B01-DA673A4FB2DC}">
  <dimension ref="B3:P69"/>
  <sheetViews>
    <sheetView topLeftCell="C1" zoomScale="61" workbookViewId="0">
      <selection activeCell="K37" sqref="K37"/>
    </sheetView>
  </sheetViews>
  <sheetFormatPr defaultColWidth="8.796875" defaultRowHeight="14.25" x14ac:dyDescent="0.45"/>
  <cols>
    <col min="2" max="2" width="33.33203125" bestFit="1" customWidth="1"/>
    <col min="3" max="4" width="10.46484375" bestFit="1" customWidth="1"/>
    <col min="5" max="5" width="9.6640625" bestFit="1" customWidth="1"/>
    <col min="6" max="6" width="10.1328125" bestFit="1" customWidth="1"/>
    <col min="7" max="7" width="9.6640625" bestFit="1" customWidth="1"/>
    <col min="10" max="10" width="33.33203125" bestFit="1" customWidth="1"/>
    <col min="11" max="11" width="9.6640625" bestFit="1" customWidth="1"/>
    <col min="12" max="12" width="10.1328125" bestFit="1" customWidth="1"/>
    <col min="13" max="15" width="10.46484375" bestFit="1" customWidth="1"/>
  </cols>
  <sheetData>
    <row r="3" spans="2:15" x14ac:dyDescent="0.45">
      <c r="D3" t="s">
        <v>122</v>
      </c>
      <c r="L3" t="s">
        <v>127</v>
      </c>
    </row>
    <row r="4" spans="2:15" x14ac:dyDescent="0.45">
      <c r="B4" s="41"/>
      <c r="C4" s="42">
        <v>44256</v>
      </c>
      <c r="D4" s="42">
        <v>44621</v>
      </c>
      <c r="E4" s="42">
        <v>44986</v>
      </c>
      <c r="F4" s="42">
        <v>45352</v>
      </c>
      <c r="G4" s="42">
        <v>45717</v>
      </c>
      <c r="J4" s="41"/>
      <c r="K4" s="42">
        <v>44256</v>
      </c>
      <c r="L4" s="42">
        <v>44621</v>
      </c>
      <c r="M4" s="42">
        <v>44986</v>
      </c>
      <c r="N4" s="42">
        <v>45352</v>
      </c>
      <c r="O4" s="42">
        <v>45717</v>
      </c>
    </row>
    <row r="5" spans="2:15" x14ac:dyDescent="0.45">
      <c r="B5" s="90" t="s">
        <v>118</v>
      </c>
      <c r="C5" s="44">
        <v>23224</v>
      </c>
      <c r="D5" s="44">
        <v>23885</v>
      </c>
      <c r="E5" s="44">
        <v>22467</v>
      </c>
      <c r="F5" s="44">
        <v>25210</v>
      </c>
      <c r="G5" s="44">
        <v>35694</v>
      </c>
      <c r="J5" s="90" t="s">
        <v>118</v>
      </c>
      <c r="K5" s="44">
        <v>38802</v>
      </c>
      <c r="L5" s="44">
        <v>39949</v>
      </c>
      <c r="M5" s="44">
        <v>41965</v>
      </c>
      <c r="N5" s="44">
        <v>44338</v>
      </c>
      <c r="O5" s="44">
        <v>48908</v>
      </c>
    </row>
    <row r="6" spans="2:15" x14ac:dyDescent="0.45">
      <c r="B6" s="91" t="s">
        <v>57</v>
      </c>
      <c r="C6" s="44">
        <v>28845</v>
      </c>
      <c r="D6" s="44">
        <v>32921</v>
      </c>
      <c r="E6" s="44">
        <v>37605</v>
      </c>
      <c r="F6" s="44">
        <v>39523</v>
      </c>
      <c r="G6" s="44">
        <v>41591</v>
      </c>
      <c r="J6" s="91" t="s">
        <v>57</v>
      </c>
      <c r="K6" s="44">
        <v>47031</v>
      </c>
      <c r="L6" s="44">
        <v>54204</v>
      </c>
      <c r="M6" s="44">
        <v>59148</v>
      </c>
      <c r="N6" s="44">
        <v>63709</v>
      </c>
      <c r="O6" s="44">
        <v>67853</v>
      </c>
    </row>
    <row r="7" spans="2:15" x14ac:dyDescent="0.45">
      <c r="B7" s="92" t="s">
        <v>58</v>
      </c>
      <c r="C7" s="49">
        <v>-1835</v>
      </c>
      <c r="D7" s="49">
        <v>-7937</v>
      </c>
      <c r="E7" s="49">
        <v>-7076</v>
      </c>
      <c r="F7" s="49">
        <v>-2667</v>
      </c>
      <c r="G7" s="49">
        <v>-1769</v>
      </c>
      <c r="J7" s="92" t="s">
        <v>58</v>
      </c>
      <c r="K7" s="49">
        <v>1059</v>
      </c>
      <c r="L7" s="49">
        <v>-5144</v>
      </c>
      <c r="M7" s="49">
        <v>-7683</v>
      </c>
      <c r="N7" s="49">
        <v>-3332</v>
      </c>
      <c r="O7" s="49">
        <v>-5228</v>
      </c>
    </row>
    <row r="8" spans="2:15" x14ac:dyDescent="0.45">
      <c r="B8" s="92" t="s">
        <v>60</v>
      </c>
      <c r="C8" s="50">
        <v>-245</v>
      </c>
      <c r="D8" s="49">
        <v>1489</v>
      </c>
      <c r="E8" s="50">
        <v>-279</v>
      </c>
      <c r="F8" s="50">
        <v>91</v>
      </c>
      <c r="G8" s="50">
        <v>176</v>
      </c>
      <c r="J8" s="92" t="s">
        <v>59</v>
      </c>
      <c r="K8" s="50">
        <v>-3</v>
      </c>
      <c r="L8" s="50">
        <v>-12</v>
      </c>
      <c r="M8" s="50">
        <v>-8</v>
      </c>
      <c r="N8" s="50">
        <v>0</v>
      </c>
      <c r="O8" s="50">
        <v>7</v>
      </c>
    </row>
    <row r="9" spans="2:15" x14ac:dyDescent="0.45">
      <c r="B9" s="92" t="s">
        <v>61</v>
      </c>
      <c r="C9" s="50">
        <v>-534</v>
      </c>
      <c r="D9" s="49">
        <v>-1914</v>
      </c>
      <c r="E9" s="49">
        <v>-3108</v>
      </c>
      <c r="F9" s="49">
        <v>-1172</v>
      </c>
      <c r="G9" s="49">
        <v>-1024</v>
      </c>
      <c r="J9" s="92" t="s">
        <v>60</v>
      </c>
      <c r="K9" s="50">
        <v>-93</v>
      </c>
      <c r="L9" s="50">
        <v>186</v>
      </c>
      <c r="M9" s="49">
        <v>2036</v>
      </c>
      <c r="N9" s="50">
        <v>-632</v>
      </c>
      <c r="O9" s="49">
        <v>3718</v>
      </c>
    </row>
    <row r="10" spans="2:15" x14ac:dyDescent="0.45">
      <c r="B10" s="92" t="s">
        <v>62</v>
      </c>
      <c r="C10" s="49">
        <v>3382</v>
      </c>
      <c r="D10" s="49">
        <v>6938</v>
      </c>
      <c r="E10" s="49">
        <v>4119</v>
      </c>
      <c r="F10" s="49">
        <v>-1334</v>
      </c>
      <c r="G10" s="49">
        <v>2322</v>
      </c>
      <c r="J10" s="92" t="s">
        <v>61</v>
      </c>
      <c r="K10" s="50">
        <v>-17</v>
      </c>
      <c r="L10" s="50">
        <v>-116</v>
      </c>
      <c r="M10" s="50">
        <v>261</v>
      </c>
      <c r="N10" s="50">
        <v>-301</v>
      </c>
      <c r="O10" s="50">
        <v>-738</v>
      </c>
    </row>
    <row r="11" spans="2:15" x14ac:dyDescent="0.45">
      <c r="B11" s="91" t="s">
        <v>63</v>
      </c>
      <c r="C11" s="53">
        <v>768</v>
      </c>
      <c r="D11" s="44">
        <v>-1424</v>
      </c>
      <c r="E11" s="44">
        <v>-6344</v>
      </c>
      <c r="F11" s="44">
        <v>-5082</v>
      </c>
      <c r="G11" s="53">
        <v>-295</v>
      </c>
      <c r="J11" s="92" t="s">
        <v>62</v>
      </c>
      <c r="K11" s="50">
        <v>-83</v>
      </c>
      <c r="L11" s="49">
        <v>2317</v>
      </c>
      <c r="M11" s="49">
        <v>1177</v>
      </c>
      <c r="N11" s="49">
        <v>-2617</v>
      </c>
      <c r="O11" s="49">
        <v>-1118</v>
      </c>
    </row>
    <row r="12" spans="2:15" x14ac:dyDescent="0.45">
      <c r="B12" s="92" t="s">
        <v>64</v>
      </c>
      <c r="C12" s="49">
        <v>-6389</v>
      </c>
      <c r="D12" s="49">
        <v>-7612</v>
      </c>
      <c r="E12" s="49">
        <v>-8794</v>
      </c>
      <c r="F12" s="49">
        <v>-9231</v>
      </c>
      <c r="G12" s="49">
        <v>-5602</v>
      </c>
      <c r="J12" s="91" t="s">
        <v>63</v>
      </c>
      <c r="K12" s="53">
        <v>863</v>
      </c>
      <c r="L12" s="44">
        <v>-2769</v>
      </c>
      <c r="M12" s="44">
        <v>-4217</v>
      </c>
      <c r="N12" s="44">
        <v>-6882</v>
      </c>
      <c r="O12" s="44">
        <v>-3359</v>
      </c>
    </row>
    <row r="13" spans="2:15" x14ac:dyDescent="0.45">
      <c r="B13" s="93" t="s">
        <v>119</v>
      </c>
      <c r="C13" s="44">
        <v>-7373</v>
      </c>
      <c r="D13" s="44">
        <v>-6485</v>
      </c>
      <c r="E13" s="44">
        <v>-1071</v>
      </c>
      <c r="F13" s="44">
        <v>-5093</v>
      </c>
      <c r="G13" s="44">
        <v>-1864</v>
      </c>
      <c r="J13" s="92" t="s">
        <v>64</v>
      </c>
      <c r="K13" s="49">
        <v>-9092</v>
      </c>
      <c r="L13" s="49">
        <v>-11486</v>
      </c>
      <c r="M13" s="49">
        <v>-12966</v>
      </c>
      <c r="N13" s="49">
        <v>-12489</v>
      </c>
      <c r="O13" s="49">
        <v>-15586</v>
      </c>
    </row>
    <row r="14" spans="2:15" x14ac:dyDescent="0.45">
      <c r="B14" s="94" t="s">
        <v>66</v>
      </c>
      <c r="C14" s="49">
        <v>-2107</v>
      </c>
      <c r="D14" s="49">
        <v>-2161</v>
      </c>
      <c r="E14" s="49">
        <v>-2579</v>
      </c>
      <c r="F14" s="49">
        <v>-2201</v>
      </c>
      <c r="G14" s="49">
        <v>-2237</v>
      </c>
      <c r="J14" s="93" t="s">
        <v>119</v>
      </c>
      <c r="K14" s="44">
        <v>-7956</v>
      </c>
      <c r="L14" s="53">
        <v>-738</v>
      </c>
      <c r="M14" s="53">
        <v>548</v>
      </c>
      <c r="N14" s="44">
        <v>6091</v>
      </c>
      <c r="O14" s="44">
        <v>-2144</v>
      </c>
    </row>
    <row r="15" spans="2:15" x14ac:dyDescent="0.45">
      <c r="B15" s="94" t="s">
        <v>67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J15" s="94" t="s">
        <v>66</v>
      </c>
      <c r="K15" s="49">
        <v>-3176</v>
      </c>
      <c r="L15" s="49">
        <v>-2995</v>
      </c>
      <c r="M15" s="49">
        <v>-3100</v>
      </c>
      <c r="N15" s="49">
        <v>-2674</v>
      </c>
      <c r="O15" s="49">
        <v>-3937</v>
      </c>
    </row>
    <row r="16" spans="2:15" x14ac:dyDescent="0.45">
      <c r="B16" s="94" t="s">
        <v>68</v>
      </c>
      <c r="C16" s="49">
        <v>-46738</v>
      </c>
      <c r="D16" s="49">
        <v>-59951</v>
      </c>
      <c r="E16" s="49">
        <v>-75800</v>
      </c>
      <c r="F16" s="49">
        <v>-78118</v>
      </c>
      <c r="G16" s="49">
        <v>-82753</v>
      </c>
      <c r="J16" s="94" t="s">
        <v>67</v>
      </c>
      <c r="K16" s="50">
        <v>37</v>
      </c>
      <c r="L16" s="50">
        <v>31</v>
      </c>
      <c r="M16" s="50">
        <v>37</v>
      </c>
      <c r="N16" s="50">
        <v>24</v>
      </c>
      <c r="O16" s="50">
        <v>23</v>
      </c>
    </row>
    <row r="17" spans="2:15" x14ac:dyDescent="0.45">
      <c r="B17" s="94" t="s">
        <v>69</v>
      </c>
      <c r="C17" s="49">
        <v>40381</v>
      </c>
      <c r="D17" s="49">
        <v>57356</v>
      </c>
      <c r="E17" s="49">
        <v>76722</v>
      </c>
      <c r="F17" s="49">
        <v>72956</v>
      </c>
      <c r="G17" s="49">
        <v>84888</v>
      </c>
      <c r="J17" s="94" t="s">
        <v>68</v>
      </c>
      <c r="K17" s="49">
        <v>-54462</v>
      </c>
      <c r="L17" s="49">
        <v>-75374</v>
      </c>
      <c r="M17" s="49">
        <v>-129745</v>
      </c>
      <c r="N17" s="49">
        <v>-141011</v>
      </c>
      <c r="O17" s="49">
        <v>-145962</v>
      </c>
    </row>
    <row r="18" spans="2:15" x14ac:dyDescent="0.45">
      <c r="B18" s="94" t="s">
        <v>70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J18" s="94" t="s">
        <v>69</v>
      </c>
      <c r="K18" s="49">
        <v>51630</v>
      </c>
      <c r="L18" s="49">
        <v>73852</v>
      </c>
      <c r="M18" s="49">
        <v>122687</v>
      </c>
      <c r="N18" s="49">
        <v>147204</v>
      </c>
      <c r="O18" s="49">
        <v>147695</v>
      </c>
    </row>
    <row r="19" spans="2:15" x14ac:dyDescent="0.45">
      <c r="B19" s="94" t="s">
        <v>71</v>
      </c>
      <c r="C19" s="49">
        <v>1418</v>
      </c>
      <c r="D19" s="49">
        <v>1898</v>
      </c>
      <c r="E19" s="49">
        <v>1525</v>
      </c>
      <c r="F19" s="49">
        <v>1768</v>
      </c>
      <c r="G19" s="49">
        <v>2040</v>
      </c>
      <c r="J19" s="94" t="s">
        <v>70</v>
      </c>
      <c r="K19" s="49">
        <v>2730</v>
      </c>
      <c r="L19" s="49">
        <v>2700</v>
      </c>
      <c r="M19" s="49">
        <v>3080</v>
      </c>
      <c r="N19" s="49">
        <v>2990</v>
      </c>
      <c r="O19" s="49">
        <v>3056</v>
      </c>
    </row>
    <row r="20" spans="2:15" x14ac:dyDescent="0.45">
      <c r="B20" s="94" t="s">
        <v>84</v>
      </c>
      <c r="C20" s="50">
        <v>0</v>
      </c>
      <c r="D20" s="50">
        <v>0</v>
      </c>
      <c r="E20" s="50">
        <v>0</v>
      </c>
      <c r="F20" s="50">
        <v>0</v>
      </c>
      <c r="G20" s="50">
        <v>0</v>
      </c>
      <c r="J20" s="94" t="s">
        <v>71</v>
      </c>
      <c r="K20" s="50">
        <v>8</v>
      </c>
      <c r="L20" s="50">
        <v>4</v>
      </c>
      <c r="M20" s="50">
        <v>13</v>
      </c>
      <c r="N20" s="50">
        <v>26</v>
      </c>
      <c r="O20" s="50">
        <v>40</v>
      </c>
    </row>
    <row r="21" spans="2:15" x14ac:dyDescent="0.45">
      <c r="B21" s="94" t="s">
        <v>74</v>
      </c>
      <c r="C21" s="50">
        <v>0</v>
      </c>
      <c r="D21" s="50">
        <v>0</v>
      </c>
      <c r="E21" s="50">
        <v>0</v>
      </c>
      <c r="F21" s="50">
        <v>0</v>
      </c>
      <c r="G21" s="50">
        <v>0</v>
      </c>
      <c r="J21" s="94" t="s">
        <v>84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</row>
    <row r="22" spans="2:15" x14ac:dyDescent="0.45">
      <c r="B22" s="94" t="s">
        <v>75</v>
      </c>
      <c r="C22" s="50">
        <v>-327</v>
      </c>
      <c r="D22" s="49">
        <v>-3627</v>
      </c>
      <c r="E22" s="50">
        <v>-939</v>
      </c>
      <c r="F22" s="50">
        <v>502</v>
      </c>
      <c r="G22" s="49">
        <v>-3802</v>
      </c>
      <c r="J22" s="94" t="s">
        <v>74</v>
      </c>
      <c r="K22" s="49">
        <v>-3058</v>
      </c>
      <c r="L22" s="49">
        <v>4879</v>
      </c>
      <c r="M22" s="49">
        <v>5361</v>
      </c>
      <c r="N22" s="50">
        <v>846</v>
      </c>
      <c r="O22" s="50">
        <v>170</v>
      </c>
    </row>
    <row r="23" spans="2:15" x14ac:dyDescent="0.45">
      <c r="B23" s="90" t="s">
        <v>121</v>
      </c>
      <c r="C23" s="44">
        <v>-9786</v>
      </c>
      <c r="D23" s="44">
        <v>-24642</v>
      </c>
      <c r="E23" s="44">
        <v>-26695</v>
      </c>
      <c r="F23" s="44">
        <v>-17504</v>
      </c>
      <c r="G23" s="44">
        <v>-24161</v>
      </c>
      <c r="J23" s="94" t="s">
        <v>75</v>
      </c>
      <c r="K23" s="49">
        <v>-1665</v>
      </c>
      <c r="L23" s="49">
        <v>-3835</v>
      </c>
      <c r="M23" s="49">
        <v>2215</v>
      </c>
      <c r="N23" s="49">
        <v>-1314</v>
      </c>
      <c r="O23" s="49">
        <v>-3229</v>
      </c>
    </row>
    <row r="24" spans="2:15" x14ac:dyDescent="0.45">
      <c r="B24" s="92" t="s">
        <v>77</v>
      </c>
      <c r="C24" s="50">
        <v>15</v>
      </c>
      <c r="D24" s="50">
        <v>21</v>
      </c>
      <c r="E24" s="50">
        <v>35</v>
      </c>
      <c r="F24" s="50">
        <v>5</v>
      </c>
      <c r="G24" s="50">
        <v>6</v>
      </c>
      <c r="J24" s="90" t="s">
        <v>121</v>
      </c>
      <c r="K24" s="44">
        <v>-32634</v>
      </c>
      <c r="L24" s="44">
        <v>-33581</v>
      </c>
      <c r="M24" s="44">
        <v>-47878</v>
      </c>
      <c r="N24" s="44">
        <v>-48536</v>
      </c>
      <c r="O24" s="44">
        <v>-47438</v>
      </c>
    </row>
    <row r="25" spans="2:15" x14ac:dyDescent="0.45">
      <c r="B25" s="92" t="s">
        <v>86</v>
      </c>
      <c r="C25" s="50">
        <v>0</v>
      </c>
      <c r="D25" s="50">
        <v>0</v>
      </c>
      <c r="E25" s="50">
        <v>0</v>
      </c>
      <c r="F25" s="50">
        <v>0</v>
      </c>
      <c r="G25" s="50">
        <v>-985</v>
      </c>
      <c r="J25" s="92" t="s">
        <v>77</v>
      </c>
      <c r="K25" s="50">
        <v>0</v>
      </c>
      <c r="L25" s="50">
        <v>0</v>
      </c>
      <c r="M25" s="50">
        <v>18</v>
      </c>
      <c r="N25" s="50">
        <v>425</v>
      </c>
      <c r="O25" s="50">
        <v>0</v>
      </c>
    </row>
    <row r="26" spans="2:15" x14ac:dyDescent="0.45">
      <c r="B26" s="92" t="s">
        <v>79</v>
      </c>
      <c r="C26" s="49">
        <v>-9137</v>
      </c>
      <c r="D26" s="49">
        <v>-12731</v>
      </c>
      <c r="E26" s="49">
        <v>-13653</v>
      </c>
      <c r="F26" s="49">
        <v>-14731</v>
      </c>
      <c r="G26" s="49">
        <v>-20289</v>
      </c>
      <c r="J26" s="92" t="s">
        <v>85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</row>
    <row r="27" spans="2:15" x14ac:dyDescent="0.45">
      <c r="B27" s="92" t="s">
        <v>80</v>
      </c>
      <c r="C27" s="50">
        <v>-698</v>
      </c>
      <c r="D27" s="50">
        <v>-915</v>
      </c>
      <c r="E27" s="49">
        <v>-1231</v>
      </c>
      <c r="F27" s="49">
        <v>-2024</v>
      </c>
      <c r="G27" s="49">
        <v>-2355</v>
      </c>
      <c r="J27" s="92" t="s">
        <v>86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</row>
    <row r="28" spans="2:15" x14ac:dyDescent="0.45">
      <c r="B28" s="92" t="s">
        <v>81</v>
      </c>
      <c r="C28" s="50">
        <v>34</v>
      </c>
      <c r="D28" s="49">
        <v>-11017</v>
      </c>
      <c r="E28" s="49">
        <v>-11846</v>
      </c>
      <c r="F28" s="50">
        <v>-754</v>
      </c>
      <c r="G28" s="50">
        <v>-538</v>
      </c>
      <c r="J28" s="92" t="s">
        <v>78</v>
      </c>
      <c r="K28" s="50">
        <v>-634</v>
      </c>
      <c r="L28" s="50">
        <v>-698</v>
      </c>
      <c r="M28" s="50">
        <v>-779</v>
      </c>
      <c r="N28" s="50">
        <v>-699</v>
      </c>
      <c r="O28" s="50">
        <v>-840</v>
      </c>
    </row>
    <row r="29" spans="2:15" x14ac:dyDescent="0.45">
      <c r="B29" s="93" t="s">
        <v>82</v>
      </c>
      <c r="C29" s="44">
        <v>6065</v>
      </c>
      <c r="D29" s="44">
        <v>-7242</v>
      </c>
      <c r="E29" s="44">
        <v>-5299</v>
      </c>
      <c r="F29" s="44">
        <v>2613</v>
      </c>
      <c r="G29" s="44">
        <v>9669</v>
      </c>
      <c r="J29" s="92" t="s">
        <v>79</v>
      </c>
      <c r="K29" s="49">
        <v>-10907</v>
      </c>
      <c r="L29" s="49">
        <v>-13375</v>
      </c>
      <c r="M29" s="49">
        <v>-41410</v>
      </c>
      <c r="N29" s="49">
        <v>-25218</v>
      </c>
      <c r="O29" s="49">
        <v>-44962</v>
      </c>
    </row>
    <row r="30" spans="2:15" x14ac:dyDescent="0.45">
      <c r="J30" s="92" t="s">
        <v>80</v>
      </c>
      <c r="K30" s="49">
        <v>-1336</v>
      </c>
      <c r="L30" s="49">
        <v>-1417</v>
      </c>
      <c r="M30" s="49">
        <v>-1515</v>
      </c>
      <c r="N30" s="49">
        <v>-1614</v>
      </c>
      <c r="O30" s="49">
        <v>-1664</v>
      </c>
    </row>
    <row r="31" spans="2:15" x14ac:dyDescent="0.45">
      <c r="J31" s="92" t="s">
        <v>81</v>
      </c>
      <c r="K31" s="49">
        <v>-19757</v>
      </c>
      <c r="L31" s="49">
        <v>-18091</v>
      </c>
      <c r="M31" s="49">
        <v>-4192</v>
      </c>
      <c r="N31" s="49">
        <v>-21430</v>
      </c>
      <c r="O31" s="50">
        <v>28</v>
      </c>
    </row>
    <row r="32" spans="2:15" x14ac:dyDescent="0.45">
      <c r="J32" s="93" t="s">
        <v>82</v>
      </c>
      <c r="K32" s="44">
        <v>-1788</v>
      </c>
      <c r="L32" s="44">
        <v>5630</v>
      </c>
      <c r="M32" s="44">
        <v>-5365</v>
      </c>
      <c r="N32" s="44">
        <v>1893</v>
      </c>
      <c r="O32" s="53">
        <v>-674</v>
      </c>
    </row>
    <row r="36" spans="2:16" x14ac:dyDescent="0.45">
      <c r="L36" t="s">
        <v>142</v>
      </c>
    </row>
    <row r="37" spans="2:16" x14ac:dyDescent="0.45">
      <c r="D37" t="s">
        <v>133</v>
      </c>
      <c r="J37" s="41"/>
      <c r="K37" s="121">
        <v>44256</v>
      </c>
      <c r="L37" s="121">
        <v>44621</v>
      </c>
      <c r="M37" s="121">
        <v>44986</v>
      </c>
      <c r="N37" s="121">
        <v>45352</v>
      </c>
      <c r="O37" s="121">
        <v>45717</v>
      </c>
      <c r="P37" s="32"/>
    </row>
    <row r="38" spans="2:16" x14ac:dyDescent="0.45">
      <c r="B38" s="41"/>
      <c r="C38" s="121">
        <v>44256</v>
      </c>
      <c r="D38" s="121">
        <v>44621</v>
      </c>
      <c r="E38" s="121">
        <v>44986</v>
      </c>
      <c r="F38" s="121">
        <v>45352</v>
      </c>
      <c r="G38" s="121">
        <v>45717</v>
      </c>
      <c r="J38" s="122" t="s">
        <v>138</v>
      </c>
      <c r="K38" s="123">
        <v>19618</v>
      </c>
      <c r="L38" s="123">
        <v>16900</v>
      </c>
      <c r="M38" s="123">
        <v>18009</v>
      </c>
      <c r="N38" s="123">
        <v>22448</v>
      </c>
      <c r="O38" s="123">
        <v>22261</v>
      </c>
    </row>
    <row r="39" spans="2:16" x14ac:dyDescent="0.45">
      <c r="B39" s="122" t="s">
        <v>138</v>
      </c>
      <c r="C39" s="123">
        <v>14755</v>
      </c>
      <c r="D39" s="123">
        <v>11080</v>
      </c>
      <c r="E39" s="123">
        <v>13060</v>
      </c>
      <c r="F39" s="123">
        <v>17622</v>
      </c>
      <c r="G39" s="123">
        <v>16943</v>
      </c>
      <c r="J39" s="130" t="s">
        <v>57</v>
      </c>
      <c r="K39" s="123">
        <v>20022</v>
      </c>
      <c r="L39" s="123">
        <v>20892</v>
      </c>
      <c r="M39" s="123">
        <v>23012</v>
      </c>
      <c r="N39" s="123">
        <v>24355</v>
      </c>
      <c r="O39" s="123">
        <v>25494</v>
      </c>
    </row>
    <row r="40" spans="2:16" x14ac:dyDescent="0.45">
      <c r="B40" s="130" t="s">
        <v>57</v>
      </c>
      <c r="C40" s="123">
        <v>14954</v>
      </c>
      <c r="D40" s="123">
        <v>17297</v>
      </c>
      <c r="E40" s="123">
        <v>17538</v>
      </c>
      <c r="F40" s="123">
        <v>17416</v>
      </c>
      <c r="G40" s="123">
        <v>18533</v>
      </c>
      <c r="J40" s="92" t="s">
        <v>58</v>
      </c>
      <c r="K40" s="112">
        <v>585</v>
      </c>
      <c r="L40" s="116">
        <v>-2809</v>
      </c>
      <c r="M40" s="116">
        <v>-3240</v>
      </c>
      <c r="N40" s="112">
        <v>248</v>
      </c>
      <c r="O40" s="112">
        <v>-119</v>
      </c>
    </row>
    <row r="41" spans="2:16" x14ac:dyDescent="0.45">
      <c r="B41" s="92" t="s">
        <v>58</v>
      </c>
      <c r="C41" s="116">
        <v>1285</v>
      </c>
      <c r="D41" s="116">
        <v>-4323</v>
      </c>
      <c r="E41" s="112">
        <v>-98</v>
      </c>
      <c r="F41" s="112">
        <v>782</v>
      </c>
      <c r="G41" s="112">
        <v>189</v>
      </c>
      <c r="J41" s="92" t="s">
        <v>59</v>
      </c>
      <c r="K41" s="112">
        <v>72</v>
      </c>
      <c r="L41" s="112">
        <v>207</v>
      </c>
      <c r="M41" s="112">
        <v>-37</v>
      </c>
      <c r="N41" s="112">
        <v>60</v>
      </c>
      <c r="O41" s="112">
        <v>77</v>
      </c>
    </row>
    <row r="42" spans="2:16" x14ac:dyDescent="0.45">
      <c r="B42" s="92" t="s">
        <v>59</v>
      </c>
      <c r="C42" s="112">
        <v>80</v>
      </c>
      <c r="D42" s="112">
        <v>-26</v>
      </c>
      <c r="E42" s="112">
        <v>16</v>
      </c>
      <c r="F42" s="112">
        <v>29</v>
      </c>
      <c r="G42" s="112">
        <v>21</v>
      </c>
      <c r="J42" s="92" t="s">
        <v>60</v>
      </c>
      <c r="K42" s="112">
        <v>608</v>
      </c>
      <c r="L42" s="112">
        <v>718</v>
      </c>
      <c r="M42" s="112">
        <v>-175</v>
      </c>
      <c r="N42" s="112">
        <v>-681</v>
      </c>
      <c r="O42" s="112">
        <v>249</v>
      </c>
    </row>
    <row r="43" spans="2:16" x14ac:dyDescent="0.45">
      <c r="B43" s="92" t="s">
        <v>60</v>
      </c>
      <c r="C43" s="112">
        <v>570</v>
      </c>
      <c r="D43" s="112">
        <v>970</v>
      </c>
      <c r="E43" s="112">
        <v>-982</v>
      </c>
      <c r="F43" s="112">
        <v>-44</v>
      </c>
      <c r="G43" s="112">
        <v>55</v>
      </c>
      <c r="J43" s="92" t="s">
        <v>61</v>
      </c>
      <c r="K43" s="112">
        <v>0</v>
      </c>
      <c r="L43" s="112">
        <v>0</v>
      </c>
      <c r="M43" s="112">
        <v>0</v>
      </c>
      <c r="N43" s="112">
        <v>0</v>
      </c>
      <c r="O43" s="112">
        <v>0</v>
      </c>
    </row>
    <row r="44" spans="2:16" x14ac:dyDescent="0.45">
      <c r="B44" s="92" t="s">
        <v>61</v>
      </c>
      <c r="C44" s="112">
        <v>0</v>
      </c>
      <c r="D44" s="112">
        <v>0</v>
      </c>
      <c r="E44" s="112">
        <v>0</v>
      </c>
      <c r="F44" s="112">
        <v>0</v>
      </c>
      <c r="G44" s="112">
        <v>0</v>
      </c>
      <c r="J44" s="92" t="s">
        <v>62</v>
      </c>
      <c r="K44" s="116">
        <v>1776</v>
      </c>
      <c r="L44" s="116">
        <v>1335</v>
      </c>
      <c r="M44" s="116">
        <v>2147</v>
      </c>
      <c r="N44" s="116">
        <v>2678</v>
      </c>
      <c r="O44" s="112">
        <v>803</v>
      </c>
    </row>
    <row r="45" spans="2:16" x14ac:dyDescent="0.45">
      <c r="B45" s="92" t="s">
        <v>62</v>
      </c>
      <c r="C45" s="112">
        <v>357</v>
      </c>
      <c r="D45" s="112">
        <v>-270</v>
      </c>
      <c r="E45" s="112">
        <v>-391</v>
      </c>
      <c r="F45" s="112">
        <v>974</v>
      </c>
      <c r="G45" s="112">
        <v>762</v>
      </c>
      <c r="J45" s="130" t="s">
        <v>63</v>
      </c>
      <c r="K45" s="123">
        <v>3041</v>
      </c>
      <c r="L45" s="132">
        <v>-549</v>
      </c>
      <c r="M45" s="123">
        <v>-1305</v>
      </c>
      <c r="N45" s="123">
        <v>2305</v>
      </c>
      <c r="O45" s="123">
        <v>1010</v>
      </c>
    </row>
    <row r="46" spans="2:16" x14ac:dyDescent="0.45">
      <c r="B46" s="130" t="s">
        <v>63</v>
      </c>
      <c r="C46" s="123">
        <v>2292</v>
      </c>
      <c r="D46" s="123">
        <v>-3649</v>
      </c>
      <c r="E46" s="123">
        <v>-1456</v>
      </c>
      <c r="F46" s="123">
        <v>1741</v>
      </c>
      <c r="G46" s="123">
        <v>1027</v>
      </c>
      <c r="J46" s="92" t="s">
        <v>64</v>
      </c>
      <c r="K46" s="116">
        <v>-3445</v>
      </c>
      <c r="L46" s="116">
        <v>-3443</v>
      </c>
      <c r="M46" s="116">
        <v>-3698</v>
      </c>
      <c r="N46" s="116">
        <v>-4212</v>
      </c>
      <c r="O46" s="116">
        <v>-4243</v>
      </c>
    </row>
    <row r="47" spans="2:16" x14ac:dyDescent="0.45">
      <c r="B47" s="92" t="s">
        <v>64</v>
      </c>
      <c r="C47" s="116">
        <v>-2492</v>
      </c>
      <c r="D47" s="116">
        <v>-2569</v>
      </c>
      <c r="E47" s="116">
        <v>-3022</v>
      </c>
      <c r="F47" s="116">
        <v>-1536</v>
      </c>
      <c r="G47" s="116">
        <v>-2618</v>
      </c>
      <c r="J47" s="125" t="s">
        <v>139</v>
      </c>
      <c r="K47" s="126">
        <v>-5665</v>
      </c>
      <c r="L47" s="126">
        <v>1597</v>
      </c>
      <c r="M47" s="126">
        <v>-3573</v>
      </c>
      <c r="N47" s="126">
        <v>-6608</v>
      </c>
      <c r="O47" s="126">
        <v>-4896</v>
      </c>
    </row>
    <row r="48" spans="2:16" x14ac:dyDescent="0.45">
      <c r="B48" s="125" t="s">
        <v>139</v>
      </c>
      <c r="C48" s="131">
        <v>685</v>
      </c>
      <c r="D48" s="126">
        <v>-22321</v>
      </c>
      <c r="E48" s="126">
        <v>-8169</v>
      </c>
      <c r="F48" s="126">
        <v>1144</v>
      </c>
      <c r="G48" s="126">
        <v>-8044</v>
      </c>
      <c r="J48" s="94" t="s">
        <v>66</v>
      </c>
      <c r="K48" s="114">
        <v>-1904</v>
      </c>
      <c r="L48" s="114">
        <v>-1645</v>
      </c>
      <c r="M48" s="114">
        <v>-1661</v>
      </c>
      <c r="N48" s="114">
        <v>-1048</v>
      </c>
      <c r="O48" s="114">
        <v>-1108</v>
      </c>
    </row>
    <row r="49" spans="2:15" x14ac:dyDescent="0.45">
      <c r="B49" s="94" t="s">
        <v>66</v>
      </c>
      <c r="C49" s="114">
        <v>-1958</v>
      </c>
      <c r="D49" s="114">
        <v>-2015</v>
      </c>
      <c r="E49" s="114">
        <v>-1483</v>
      </c>
      <c r="F49" s="114">
        <v>-1051</v>
      </c>
      <c r="G49" s="114">
        <v>-1474</v>
      </c>
      <c r="J49" s="94" t="s">
        <v>67</v>
      </c>
      <c r="K49" s="118">
        <v>151</v>
      </c>
      <c r="L49" s="118">
        <v>90</v>
      </c>
      <c r="M49" s="118">
        <v>217</v>
      </c>
      <c r="N49" s="118">
        <v>32</v>
      </c>
      <c r="O49" s="118">
        <v>25</v>
      </c>
    </row>
    <row r="50" spans="2:15" x14ac:dyDescent="0.45">
      <c r="B50" s="94" t="s">
        <v>67</v>
      </c>
      <c r="C50" s="118">
        <v>75</v>
      </c>
      <c r="D50" s="118">
        <v>74</v>
      </c>
      <c r="E50" s="118">
        <v>55</v>
      </c>
      <c r="F50" s="118">
        <v>402</v>
      </c>
      <c r="G50" s="118">
        <v>182</v>
      </c>
      <c r="J50" s="94" t="s">
        <v>104</v>
      </c>
      <c r="K50" s="118">
        <v>0</v>
      </c>
      <c r="L50" s="118">
        <v>0</v>
      </c>
      <c r="M50" s="118">
        <v>0</v>
      </c>
      <c r="N50" s="118">
        <v>0</v>
      </c>
      <c r="O50" s="118">
        <v>0</v>
      </c>
    </row>
    <row r="51" spans="2:15" x14ac:dyDescent="0.45">
      <c r="B51" s="94" t="s">
        <v>68</v>
      </c>
      <c r="C51" s="114">
        <v>-117225</v>
      </c>
      <c r="D51" s="114">
        <v>-101549</v>
      </c>
      <c r="E51" s="114">
        <v>-80663</v>
      </c>
      <c r="F51" s="114">
        <v>-97507</v>
      </c>
      <c r="G51" s="114">
        <v>-80158</v>
      </c>
      <c r="J51" s="94" t="s">
        <v>68</v>
      </c>
      <c r="K51" s="114">
        <v>-20799</v>
      </c>
      <c r="L51" s="114">
        <v>-32586</v>
      </c>
      <c r="M51" s="114">
        <v>-34623</v>
      </c>
      <c r="N51" s="114">
        <v>-41682</v>
      </c>
      <c r="O51" s="114">
        <v>-43865</v>
      </c>
    </row>
    <row r="52" spans="2:15" x14ac:dyDescent="0.45">
      <c r="B52" s="94" t="s">
        <v>69</v>
      </c>
      <c r="C52" s="114">
        <v>118906</v>
      </c>
      <c r="D52" s="114">
        <v>95539</v>
      </c>
      <c r="E52" s="114">
        <v>74088</v>
      </c>
      <c r="F52" s="114">
        <v>97860</v>
      </c>
      <c r="G52" s="114">
        <v>70652</v>
      </c>
      <c r="J52" s="94" t="s">
        <v>69</v>
      </c>
      <c r="K52" s="114">
        <v>21109</v>
      </c>
      <c r="L52" s="114">
        <v>33215</v>
      </c>
      <c r="M52" s="114">
        <v>35635</v>
      </c>
      <c r="N52" s="114">
        <v>40342</v>
      </c>
      <c r="O52" s="114">
        <v>43715</v>
      </c>
    </row>
    <row r="53" spans="2:15" x14ac:dyDescent="0.45">
      <c r="B53" s="94" t="s">
        <v>70</v>
      </c>
      <c r="C53" s="114">
        <v>1962</v>
      </c>
      <c r="D53" s="114">
        <v>1228</v>
      </c>
      <c r="E53" s="114">
        <v>1411</v>
      </c>
      <c r="F53" s="114">
        <v>2011</v>
      </c>
      <c r="G53" s="114">
        <v>2621</v>
      </c>
      <c r="J53" s="94" t="s">
        <v>70</v>
      </c>
      <c r="K53" s="118">
        <v>676</v>
      </c>
      <c r="L53" s="118">
        <v>590</v>
      </c>
      <c r="M53" s="118">
        <v>636</v>
      </c>
      <c r="N53" s="114">
        <v>1041</v>
      </c>
      <c r="O53" s="114">
        <v>1322</v>
      </c>
    </row>
    <row r="54" spans="2:15" x14ac:dyDescent="0.45">
      <c r="B54" s="94" t="s">
        <v>71</v>
      </c>
      <c r="C54" s="118">
        <v>0</v>
      </c>
      <c r="D54" s="118">
        <v>0</v>
      </c>
      <c r="E54" s="114">
        <v>2741</v>
      </c>
      <c r="F54" s="118">
        <v>0</v>
      </c>
      <c r="G54" s="118">
        <v>230</v>
      </c>
      <c r="J54" s="94" t="s">
        <v>71</v>
      </c>
      <c r="K54" s="118">
        <v>0</v>
      </c>
      <c r="L54" s="118">
        <v>0</v>
      </c>
      <c r="M54" s="118">
        <v>0</v>
      </c>
      <c r="N54" s="118">
        <v>0</v>
      </c>
      <c r="O54" s="118">
        <v>0</v>
      </c>
    </row>
    <row r="55" spans="2:15" x14ac:dyDescent="0.45">
      <c r="B55" s="94" t="s">
        <v>73</v>
      </c>
      <c r="C55" s="118">
        <v>0</v>
      </c>
      <c r="D55" s="118">
        <v>0</v>
      </c>
      <c r="E55" s="118">
        <v>0</v>
      </c>
      <c r="F55" s="118">
        <v>-48</v>
      </c>
      <c r="G55" s="118">
        <v>0</v>
      </c>
      <c r="J55" s="94" t="s">
        <v>73</v>
      </c>
      <c r="K55" s="118">
        <v>0</v>
      </c>
      <c r="L55" s="118">
        <v>0</v>
      </c>
      <c r="M55" s="118">
        <v>0</v>
      </c>
      <c r="N55" s="118">
        <v>0</v>
      </c>
      <c r="O55" s="118">
        <v>0</v>
      </c>
    </row>
    <row r="56" spans="2:15" x14ac:dyDescent="0.45">
      <c r="B56" s="94" t="s">
        <v>83</v>
      </c>
      <c r="C56" s="118">
        <v>0</v>
      </c>
      <c r="D56" s="118">
        <v>0</v>
      </c>
      <c r="E56" s="118">
        <v>0</v>
      </c>
      <c r="F56" s="118">
        <v>0</v>
      </c>
      <c r="G56" s="118">
        <v>0</v>
      </c>
      <c r="J56" s="94" t="s">
        <v>83</v>
      </c>
      <c r="K56" s="118">
        <v>0</v>
      </c>
      <c r="L56" s="118">
        <v>0</v>
      </c>
      <c r="M56" s="118">
        <v>0</v>
      </c>
      <c r="N56" s="118">
        <v>0</v>
      </c>
      <c r="O56" s="118">
        <v>687</v>
      </c>
    </row>
    <row r="57" spans="2:15" x14ac:dyDescent="0.45">
      <c r="B57" s="94" t="s">
        <v>84</v>
      </c>
      <c r="C57" s="118">
        <v>0</v>
      </c>
      <c r="D57" s="118">
        <v>0</v>
      </c>
      <c r="E57" s="118">
        <v>0</v>
      </c>
      <c r="F57" s="118">
        <v>0</v>
      </c>
      <c r="G57" s="118">
        <v>0</v>
      </c>
      <c r="J57" s="94" t="s">
        <v>84</v>
      </c>
      <c r="K57" s="118">
        <v>0</v>
      </c>
      <c r="L57" s="118">
        <v>0</v>
      </c>
      <c r="M57" s="118">
        <v>0</v>
      </c>
      <c r="N57" s="118">
        <v>0</v>
      </c>
      <c r="O57" s="118">
        <v>0</v>
      </c>
    </row>
    <row r="58" spans="2:15" x14ac:dyDescent="0.45">
      <c r="B58" s="94" t="s">
        <v>74</v>
      </c>
      <c r="C58" s="118">
        <v>0</v>
      </c>
      <c r="D58" s="118">
        <v>0</v>
      </c>
      <c r="E58" s="118">
        <v>0</v>
      </c>
      <c r="F58" s="118">
        <v>0</v>
      </c>
      <c r="G58" s="118">
        <v>0</v>
      </c>
      <c r="J58" s="94" t="s">
        <v>74</v>
      </c>
      <c r="K58" s="114">
        <v>-1422</v>
      </c>
      <c r="L58" s="114">
        <v>1633</v>
      </c>
      <c r="M58" s="118">
        <v>606</v>
      </c>
      <c r="N58" s="118">
        <v>526</v>
      </c>
      <c r="O58" s="118">
        <v>-482</v>
      </c>
    </row>
    <row r="59" spans="2:15" x14ac:dyDescent="0.45">
      <c r="B59" s="94" t="s">
        <v>75</v>
      </c>
      <c r="C59" s="114">
        <v>-1076</v>
      </c>
      <c r="D59" s="114">
        <v>-15597</v>
      </c>
      <c r="E59" s="114">
        <v>-4318</v>
      </c>
      <c r="F59" s="118">
        <v>-523</v>
      </c>
      <c r="G59" s="118">
        <v>-97</v>
      </c>
      <c r="J59" s="94" t="s">
        <v>75</v>
      </c>
      <c r="K59" s="114">
        <v>-3476</v>
      </c>
      <c r="L59" s="118">
        <v>300</v>
      </c>
      <c r="M59" s="114">
        <v>-4383</v>
      </c>
      <c r="N59" s="114">
        <v>-5819</v>
      </c>
      <c r="O59" s="114">
        <v>-5190</v>
      </c>
    </row>
    <row r="60" spans="2:15" x14ac:dyDescent="0.45">
      <c r="B60" s="122" t="s">
        <v>140</v>
      </c>
      <c r="C60" s="123">
        <v>-12884</v>
      </c>
      <c r="D60" s="123">
        <v>4659</v>
      </c>
      <c r="E60" s="123">
        <v>-6088</v>
      </c>
      <c r="F60" s="123">
        <v>-18257</v>
      </c>
      <c r="G60" s="123">
        <v>-6396</v>
      </c>
      <c r="J60" s="122" t="s">
        <v>140</v>
      </c>
      <c r="K60" s="123">
        <v>-11192</v>
      </c>
      <c r="L60" s="123">
        <v>-14508</v>
      </c>
      <c r="M60" s="123">
        <v>-15881</v>
      </c>
      <c r="N60" s="123">
        <v>-15464</v>
      </c>
      <c r="O60" s="123">
        <v>-18561</v>
      </c>
    </row>
    <row r="61" spans="2:15" x14ac:dyDescent="0.45">
      <c r="B61" s="92" t="s">
        <v>77</v>
      </c>
      <c r="C61" s="112">
        <v>1</v>
      </c>
      <c r="D61" s="112">
        <v>1</v>
      </c>
      <c r="E61" s="112">
        <v>1</v>
      </c>
      <c r="F61" s="112">
        <v>1</v>
      </c>
      <c r="G61" s="112">
        <v>3</v>
      </c>
      <c r="J61" s="92" t="s">
        <v>77</v>
      </c>
      <c r="K61" s="112">
        <v>0</v>
      </c>
      <c r="L61" s="112">
        <v>0</v>
      </c>
      <c r="M61" s="112">
        <v>0</v>
      </c>
      <c r="N61" s="112">
        <v>0</v>
      </c>
      <c r="O61" s="112">
        <v>0</v>
      </c>
    </row>
    <row r="62" spans="2:15" x14ac:dyDescent="0.45">
      <c r="B62" s="92" t="s">
        <v>85</v>
      </c>
      <c r="C62" s="116">
        <v>10342</v>
      </c>
      <c r="D62" s="116">
        <v>26012</v>
      </c>
      <c r="E62" s="116">
        <v>16103</v>
      </c>
      <c r="F62" s="116">
        <v>12050</v>
      </c>
      <c r="G62" s="116">
        <v>19560</v>
      </c>
      <c r="J62" s="92" t="s">
        <v>143</v>
      </c>
      <c r="K62" s="112">
        <v>0</v>
      </c>
      <c r="L62" s="112">
        <v>0</v>
      </c>
      <c r="M62" s="112">
        <v>0</v>
      </c>
      <c r="N62" s="112">
        <v>0</v>
      </c>
      <c r="O62" s="112">
        <v>0</v>
      </c>
    </row>
    <row r="63" spans="2:15" x14ac:dyDescent="0.45">
      <c r="B63" s="92" t="s">
        <v>86</v>
      </c>
      <c r="C63" s="116">
        <v>-9721</v>
      </c>
      <c r="D63" s="116">
        <v>-19181</v>
      </c>
      <c r="E63" s="116">
        <v>-16891</v>
      </c>
      <c r="F63" s="116">
        <v>-13056</v>
      </c>
      <c r="G63" s="116">
        <v>-17767</v>
      </c>
      <c r="J63" s="92" t="s">
        <v>85</v>
      </c>
      <c r="K63" s="116">
        <v>4567</v>
      </c>
      <c r="L63" s="112">
        <v>77</v>
      </c>
      <c r="M63" s="112">
        <v>124</v>
      </c>
      <c r="N63" s="112">
        <v>358</v>
      </c>
      <c r="O63" s="112">
        <v>377</v>
      </c>
    </row>
    <row r="64" spans="2:15" x14ac:dyDescent="0.45">
      <c r="B64" s="92" t="s">
        <v>78</v>
      </c>
      <c r="C64" s="112">
        <v>-334</v>
      </c>
      <c r="D64" s="112">
        <v>-509</v>
      </c>
      <c r="E64" s="112">
        <v>-871</v>
      </c>
      <c r="F64" s="116">
        <v>-1046</v>
      </c>
      <c r="G64" s="112">
        <v>-869</v>
      </c>
      <c r="J64" s="92" t="s">
        <v>86</v>
      </c>
      <c r="K64" s="116">
        <v>-11336</v>
      </c>
      <c r="L64" s="112">
        <v>-508</v>
      </c>
      <c r="M64" s="116">
        <v>-2003</v>
      </c>
      <c r="N64" s="112">
        <v>-544</v>
      </c>
      <c r="O64" s="112">
        <v>-508</v>
      </c>
    </row>
    <row r="65" spans="2:15" x14ac:dyDescent="0.45">
      <c r="B65" s="92" t="s">
        <v>79</v>
      </c>
      <c r="C65" s="112">
        <v>-642</v>
      </c>
      <c r="D65" s="112">
        <v>-660</v>
      </c>
      <c r="E65" s="116">
        <v>-3281</v>
      </c>
      <c r="F65" s="112">
        <v>-554</v>
      </c>
      <c r="G65" s="116">
        <v>-6275</v>
      </c>
      <c r="J65" s="92" t="s">
        <v>78</v>
      </c>
      <c r="K65" s="112">
        <v>-139</v>
      </c>
      <c r="L65" s="112">
        <v>-69</v>
      </c>
      <c r="M65" s="112">
        <v>-80</v>
      </c>
      <c r="N65" s="112">
        <v>-64</v>
      </c>
      <c r="O65" s="112">
        <v>-51</v>
      </c>
    </row>
    <row r="66" spans="2:15" x14ac:dyDescent="0.45">
      <c r="B66" s="92" t="s">
        <v>80</v>
      </c>
      <c r="C66" s="112">
        <v>-866</v>
      </c>
      <c r="D66" s="112">
        <v>-973</v>
      </c>
      <c r="E66" s="112">
        <v>-971</v>
      </c>
      <c r="F66" s="116">
        <v>-1006</v>
      </c>
      <c r="G66" s="116">
        <v>-1047</v>
      </c>
      <c r="J66" s="92" t="s">
        <v>79</v>
      </c>
      <c r="K66" s="116">
        <v>-3256</v>
      </c>
      <c r="L66" s="116">
        <v>-11391</v>
      </c>
      <c r="M66" s="116">
        <v>-12995</v>
      </c>
      <c r="N66" s="116">
        <v>-14073</v>
      </c>
      <c r="O66" s="116">
        <v>-16250</v>
      </c>
    </row>
    <row r="67" spans="2:15" x14ac:dyDescent="0.45">
      <c r="B67" s="92" t="s">
        <v>81</v>
      </c>
      <c r="C67" s="116">
        <v>-11664</v>
      </c>
      <c r="D67" s="112">
        <v>-31</v>
      </c>
      <c r="E67" s="112">
        <v>-178</v>
      </c>
      <c r="F67" s="116">
        <v>-14647</v>
      </c>
      <c r="G67" s="112">
        <v>0</v>
      </c>
      <c r="J67" s="92" t="s">
        <v>80</v>
      </c>
      <c r="K67" s="116">
        <v>-1016</v>
      </c>
      <c r="L67" s="116">
        <v>-1067</v>
      </c>
      <c r="M67" s="112">
        <v>-927</v>
      </c>
      <c r="N67" s="116">
        <v>-1148</v>
      </c>
      <c r="O67" s="116">
        <v>-1453</v>
      </c>
    </row>
    <row r="68" spans="2:15" x14ac:dyDescent="0.45">
      <c r="B68" s="125" t="s">
        <v>82</v>
      </c>
      <c r="C68" s="126">
        <v>2556</v>
      </c>
      <c r="D68" s="126">
        <v>-6583</v>
      </c>
      <c r="E68" s="126">
        <v>-1197</v>
      </c>
      <c r="F68" s="131">
        <v>509</v>
      </c>
      <c r="G68" s="126">
        <v>2502</v>
      </c>
      <c r="J68" s="92" t="s">
        <v>81</v>
      </c>
      <c r="K68" s="112">
        <v>-12</v>
      </c>
      <c r="L68" s="116">
        <v>-1550</v>
      </c>
      <c r="M68" s="112">
        <v>0</v>
      </c>
      <c r="N68" s="112">
        <v>7</v>
      </c>
      <c r="O68" s="112">
        <v>-676</v>
      </c>
    </row>
    <row r="69" spans="2:15" x14ac:dyDescent="0.45">
      <c r="J69" s="125" t="s">
        <v>82</v>
      </c>
      <c r="K69" s="126">
        <v>2761</v>
      </c>
      <c r="L69" s="126">
        <v>3989</v>
      </c>
      <c r="M69" s="126">
        <v>-1445</v>
      </c>
      <c r="N69" s="131">
        <v>376</v>
      </c>
      <c r="O69" s="126">
        <v>-1196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06AF9-BAC4-4C45-894E-4D4B3E815890}">
  <dimension ref="B2:Q75"/>
  <sheetViews>
    <sheetView zoomScale="45" zoomScaleNormal="70" workbookViewId="0">
      <selection activeCell="V45" sqref="V45"/>
    </sheetView>
  </sheetViews>
  <sheetFormatPr defaultColWidth="8.796875" defaultRowHeight="14.25" x14ac:dyDescent="0.45"/>
  <cols>
    <col min="2" max="2" width="24.1328125" bestFit="1" customWidth="1"/>
    <col min="3" max="3" width="18.1328125" bestFit="1" customWidth="1"/>
    <col min="4" max="7" width="12" bestFit="1" customWidth="1"/>
    <col min="8" max="8" width="7.1328125" bestFit="1" customWidth="1"/>
    <col min="12" max="12" width="24.1328125" bestFit="1" customWidth="1"/>
    <col min="13" max="17" width="12" bestFit="1" customWidth="1"/>
    <col min="20" max="20" width="17.86328125" bestFit="1" customWidth="1"/>
    <col min="21" max="21" width="23.46484375" bestFit="1" customWidth="1"/>
    <col min="22" max="26" width="12.33203125" bestFit="1" customWidth="1"/>
  </cols>
  <sheetData>
    <row r="2" spans="2:17" x14ac:dyDescent="0.45">
      <c r="C2" t="s">
        <v>24</v>
      </c>
      <c r="M2" t="s">
        <v>122</v>
      </c>
    </row>
    <row r="3" spans="2:17" ht="15.4" x14ac:dyDescent="0.45">
      <c r="B3" s="154" t="s">
        <v>144</v>
      </c>
      <c r="C3" s="154">
        <v>2021</v>
      </c>
      <c r="D3" s="154">
        <v>2022</v>
      </c>
      <c r="E3" s="154">
        <v>2023</v>
      </c>
      <c r="F3" s="154">
        <v>2024</v>
      </c>
      <c r="G3" s="154">
        <v>2025</v>
      </c>
      <c r="L3" s="154" t="s">
        <v>144</v>
      </c>
      <c r="M3" s="154">
        <v>2021</v>
      </c>
      <c r="N3" s="154">
        <v>2022</v>
      </c>
      <c r="O3" s="154">
        <v>2023</v>
      </c>
      <c r="P3" s="154">
        <v>2024</v>
      </c>
      <c r="Q3" s="154">
        <v>2025</v>
      </c>
    </row>
    <row r="4" spans="2:17" ht="15.4" x14ac:dyDescent="0.45">
      <c r="B4" s="146" t="s">
        <v>145</v>
      </c>
      <c r="C4" s="148">
        <f>'BALANCE SHEET AUTOMOBILES'!C9</f>
        <v>150</v>
      </c>
      <c r="D4" s="148">
        <f>'BALANCE SHEET AUTOMOBILES'!D9</f>
        <v>168</v>
      </c>
      <c r="E4" s="148">
        <f>'BALANCE SHEET AUTOMOBILES'!E9</f>
        <v>156</v>
      </c>
      <c r="F4" s="148">
        <f>'BALANCE SHEET AUTOMOBILES'!F9</f>
        <v>138</v>
      </c>
      <c r="G4" s="148">
        <f>'BALANCE SHEET AUTOMOBILES'!G9</f>
        <v>163</v>
      </c>
      <c r="L4" s="146" t="s">
        <v>145</v>
      </c>
      <c r="M4" s="148">
        <f>'BALANCE SHEET IT'!C6</f>
        <v>5325</v>
      </c>
      <c r="N4" s="148">
        <f>'BALANCE SHEET IT'!D6</f>
        <v>5474</v>
      </c>
      <c r="O4" s="148">
        <f>'BALANCE SHEET IT'!E6</f>
        <v>8299</v>
      </c>
      <c r="P4" s="148">
        <f>'BALANCE SHEET IT'!F6</f>
        <v>8359</v>
      </c>
      <c r="Q4" s="148">
        <f>'BALANCE SHEET IT'!G6</f>
        <v>8227</v>
      </c>
    </row>
    <row r="5" spans="2:17" ht="15.4" x14ac:dyDescent="0.45">
      <c r="B5" s="146" t="s">
        <v>146</v>
      </c>
      <c r="C5" s="149">
        <f>'BALANCE SHEET AUTOMOBILES'!C7+'BALANCE SHEET AUTOMOBILES'!C8</f>
        <v>15198</v>
      </c>
      <c r="D5" s="149">
        <f>'BALANCE SHEET AUTOMOBILES'!D7+'BALANCE SHEET AUTOMOBILES'!D8</f>
        <v>15783</v>
      </c>
      <c r="E5" s="149">
        <f>'BALANCE SHEET AUTOMOBILES'!E7+'BALANCE SHEET AUTOMOBILES'!E8</f>
        <v>16705</v>
      </c>
      <c r="F5" s="149">
        <f>'BALANCE SHEET AUTOMOBILES'!F7+'BALANCE SHEET AUTOMOBILES'!F8</f>
        <v>17986</v>
      </c>
      <c r="G5" s="149">
        <f>'BALANCE SHEET AUTOMOBILES'!G7+'BALANCE SHEET AUTOMOBILES'!G8</f>
        <v>19807</v>
      </c>
      <c r="L5" s="146" t="s">
        <v>146</v>
      </c>
      <c r="M5" s="149">
        <f>'BALANCE SHEET IT'!C4+'BALANCE SHEET IT'!C5</f>
        <v>76351</v>
      </c>
      <c r="N5" s="149">
        <f>'BALANCE SHEET IT'!D4+'BALANCE SHEET IT'!D5</f>
        <v>75350</v>
      </c>
      <c r="O5" s="149">
        <f>'BALANCE SHEET IT'!E4+'BALANCE SHEET IT'!E5</f>
        <v>75407</v>
      </c>
      <c r="P5" s="149">
        <f>'BALANCE SHEET IT'!F4+'BALANCE SHEET IT'!F5</f>
        <v>88116</v>
      </c>
      <c r="Q5" s="149">
        <f>'BALANCE SHEET IT'!G4+'BALANCE SHEET IT'!G5</f>
        <v>95818</v>
      </c>
    </row>
    <row r="6" spans="2:17" ht="15.4" x14ac:dyDescent="0.45">
      <c r="B6" s="151" t="s">
        <v>147</v>
      </c>
      <c r="C6" s="152">
        <f>C5/C4</f>
        <v>101.32</v>
      </c>
      <c r="D6" s="152">
        <f t="shared" ref="D6:G6" si="0">D5/D4</f>
        <v>93.946428571428569</v>
      </c>
      <c r="E6" s="152">
        <f t="shared" si="0"/>
        <v>107.08333333333333</v>
      </c>
      <c r="F6" s="152">
        <f t="shared" si="0"/>
        <v>130.33333333333334</v>
      </c>
      <c r="G6" s="152">
        <f t="shared" si="0"/>
        <v>121.51533742331289</v>
      </c>
      <c r="L6" s="151" t="s">
        <v>147</v>
      </c>
      <c r="M6" s="152">
        <f>M5/M4</f>
        <v>14.338215962441314</v>
      </c>
      <c r="N6" s="152">
        <f t="shared" ref="N6:Q6" si="1">N5/N4</f>
        <v>13.76507124588966</v>
      </c>
      <c r="O6" s="152">
        <f t="shared" si="1"/>
        <v>9.0862754548740821</v>
      </c>
      <c r="P6" s="152">
        <f t="shared" si="1"/>
        <v>10.541452326833353</v>
      </c>
      <c r="Q6" s="152">
        <f t="shared" si="1"/>
        <v>11.646772821198493</v>
      </c>
    </row>
    <row r="7" spans="2:17" ht="15.4" x14ac:dyDescent="0.45">
      <c r="B7" s="41"/>
      <c r="C7" s="146"/>
      <c r="D7" s="146"/>
      <c r="E7" s="146"/>
      <c r="F7" s="146"/>
      <c r="G7" s="41"/>
      <c r="L7" s="41"/>
      <c r="M7" s="146"/>
      <c r="N7" s="146"/>
      <c r="O7" s="146"/>
      <c r="P7" s="146"/>
      <c r="Q7" s="41"/>
    </row>
    <row r="8" spans="2:17" ht="15.4" x14ac:dyDescent="0.45">
      <c r="B8" s="146" t="s">
        <v>148</v>
      </c>
      <c r="C8" s="147">
        <f>'P&amp;L AUTOMOBILES'!C13-'P&amp;L AUTOMOBILES'!C19</f>
        <v>3347</v>
      </c>
      <c r="D8" s="147">
        <f>'P&amp;L AUTOMOBILES'!D13-'P&amp;L AUTOMOBILES'!D19</f>
        <v>2729</v>
      </c>
      <c r="E8" s="147">
        <f>'P&amp;L AUTOMOBILES'!E13-'P&amp;L AUTOMOBILES'!E19</f>
        <v>3334</v>
      </c>
      <c r="F8" s="147">
        <f>'P&amp;L AUTOMOBILES'!F13-'P&amp;L AUTOMOBILES'!F19</f>
        <v>4550</v>
      </c>
      <c r="G8" s="147">
        <f>'P&amp;L AUTOMOBILES'!G13-'P&amp;L AUTOMOBILES'!G19</f>
        <v>5096</v>
      </c>
      <c r="L8" s="146" t="s">
        <v>148</v>
      </c>
      <c r="M8" s="147">
        <f>'P&amp;L IT'!C10-'P&amp;L IT'!C15</f>
        <v>27694</v>
      </c>
      <c r="N8" s="147">
        <f>'P&amp;L IT'!D10-'P&amp;L IT'!D15</f>
        <v>31291</v>
      </c>
      <c r="O8" s="147">
        <f>'P&amp;L IT'!E10-'P&amp;L IT'!E15</f>
        <v>34846</v>
      </c>
      <c r="P8" s="147">
        <f>'P&amp;L IT'!F10-'P&amp;L IT'!F15</f>
        <v>35955</v>
      </c>
      <c r="Q8" s="147">
        <f>'P&amp;L IT'!G10-'P&amp;L IT'!G15</f>
        <v>38820</v>
      </c>
    </row>
    <row r="9" spans="2:17" ht="15.4" x14ac:dyDescent="0.45">
      <c r="B9" s="146" t="s">
        <v>13</v>
      </c>
      <c r="C9" s="150">
        <f>'P&amp;L AUTOMOBILES'!C18</f>
        <v>22</v>
      </c>
      <c r="D9" s="150">
        <f>'P&amp;L AUTOMOBILES'!D18</f>
        <v>26</v>
      </c>
      <c r="E9" s="150">
        <f>'P&amp;L AUTOMOBILES'!E18</f>
        <v>20</v>
      </c>
      <c r="F9" s="150">
        <f>'P&amp;L AUTOMOBILES'!F18</f>
        <v>18</v>
      </c>
      <c r="G9" s="150">
        <f>'P&amp;L AUTOMOBILES'!G18</f>
        <v>20</v>
      </c>
      <c r="L9" s="146" t="s">
        <v>13</v>
      </c>
      <c r="M9" s="150">
        <f>'P&amp;L IT'!C15</f>
        <v>195</v>
      </c>
      <c r="N9" s="150">
        <f>'P&amp;L IT'!D15</f>
        <v>200</v>
      </c>
      <c r="O9" s="150">
        <f>'P&amp;L IT'!E15</f>
        <v>284</v>
      </c>
      <c r="P9" s="150">
        <f>'P&amp;L IT'!F15</f>
        <v>470</v>
      </c>
      <c r="Q9" s="150">
        <f>'P&amp;L IT'!G15</f>
        <v>416</v>
      </c>
    </row>
    <row r="10" spans="2:17" ht="15.4" x14ac:dyDescent="0.45">
      <c r="B10" s="151" t="s">
        <v>149</v>
      </c>
      <c r="C10" s="153">
        <f>C9/C8</f>
        <v>6.5730504929787867E-3</v>
      </c>
      <c r="D10" s="153">
        <f t="shared" ref="D10:G10" si="2">D9/D8</f>
        <v>9.5272993770611943E-3</v>
      </c>
      <c r="E10" s="153">
        <f t="shared" si="2"/>
        <v>5.99880023995201E-3</v>
      </c>
      <c r="F10" s="153">
        <f t="shared" si="2"/>
        <v>3.956043956043956E-3</v>
      </c>
      <c r="G10" s="153">
        <f t="shared" si="2"/>
        <v>3.9246467817896386E-3</v>
      </c>
      <c r="L10" s="151" t="s">
        <v>149</v>
      </c>
      <c r="M10" s="153">
        <f>M9/M8</f>
        <v>7.0412363688885683E-3</v>
      </c>
      <c r="N10" s="153">
        <f t="shared" ref="N10:Q10" si="3">N9/N8</f>
        <v>6.3916142021667576E-3</v>
      </c>
      <c r="O10" s="153">
        <f t="shared" si="3"/>
        <v>8.1501463582620681E-3</v>
      </c>
      <c r="P10" s="153">
        <f t="shared" si="3"/>
        <v>1.3071895424836602E-2</v>
      </c>
      <c r="Q10" s="153">
        <f t="shared" si="3"/>
        <v>1.0716125708397733E-2</v>
      </c>
    </row>
    <row r="11" spans="2:17" ht="15.4" x14ac:dyDescent="0.45">
      <c r="B11" s="41"/>
      <c r="C11" s="146"/>
      <c r="D11" s="146"/>
      <c r="E11" s="146"/>
      <c r="F11" s="146"/>
      <c r="G11" s="41"/>
      <c r="L11" s="41"/>
      <c r="M11" s="146"/>
      <c r="N11" s="146"/>
      <c r="O11" s="146"/>
      <c r="P11" s="146"/>
      <c r="Q11" s="41"/>
    </row>
    <row r="12" spans="2:17" ht="15.4" x14ac:dyDescent="0.45">
      <c r="B12" s="146" t="s">
        <v>151</v>
      </c>
      <c r="C12" s="148">
        <f>'P&amp;L AUTOMOBILES'!C22</f>
        <v>2964</v>
      </c>
      <c r="D12" s="148">
        <f>'P&amp;L AUTOMOBILES'!D22</f>
        <v>2473</v>
      </c>
      <c r="E12" s="148">
        <f>'P&amp;L AUTOMOBILES'!E22</f>
        <v>2911</v>
      </c>
      <c r="F12" s="148">
        <f>'P&amp;L AUTOMOBILES'!F22</f>
        <v>3968</v>
      </c>
      <c r="G12" s="148">
        <f>'P&amp;L AUTOMOBILES'!G22</f>
        <v>4610</v>
      </c>
      <c r="L12" s="146" t="s">
        <v>151</v>
      </c>
      <c r="M12" s="148">
        <f>'P&amp;L IT'!C19</f>
        <v>19423</v>
      </c>
      <c r="N12" s="148">
        <f>'P&amp;L IT'!D19</f>
        <v>22146</v>
      </c>
      <c r="O12" s="148">
        <f>'P&amp;L IT'!E19</f>
        <v>24108</v>
      </c>
      <c r="P12" s="148">
        <f>'P&amp;L IT'!F19</f>
        <v>26248</v>
      </c>
      <c r="Q12" s="148">
        <f>'P&amp;L IT'!G19</f>
        <v>26750</v>
      </c>
    </row>
    <row r="13" spans="2:17" ht="15.4" x14ac:dyDescent="0.45">
      <c r="B13" s="146" t="s">
        <v>55</v>
      </c>
      <c r="C13" s="149">
        <f>'BALANCE SHEET AUTOMOBILES'!C37</f>
        <v>22161</v>
      </c>
      <c r="D13" s="149">
        <f>'BALANCE SHEET AUTOMOBILES'!D37</f>
        <v>21714</v>
      </c>
      <c r="E13" s="149">
        <f>'BALANCE SHEET AUTOMOBILES'!E37</f>
        <v>23263</v>
      </c>
      <c r="F13" s="149">
        <f>'BALANCE SHEET AUTOMOBILES'!F37</f>
        <v>25572</v>
      </c>
      <c r="G13" s="149">
        <f>'BALANCE SHEET AUTOMOBILES'!G37</f>
        <v>27920</v>
      </c>
      <c r="L13" s="146" t="s">
        <v>55</v>
      </c>
      <c r="M13" s="149">
        <f>'BALANCE SHEET IT'!C33</f>
        <v>107511</v>
      </c>
      <c r="N13" s="149">
        <f>'BALANCE SHEET IT'!D33</f>
        <v>116729</v>
      </c>
      <c r="O13" s="149">
        <f>'BALANCE SHEET IT'!E33</f>
        <v>124596</v>
      </c>
      <c r="P13" s="149">
        <f>'BALANCE SHEET IT'!F33</f>
        <v>137360</v>
      </c>
      <c r="Q13" s="149">
        <f>'BALANCE SHEET IT'!G33</f>
        <v>147795</v>
      </c>
    </row>
    <row r="14" spans="2:17" ht="15.4" x14ac:dyDescent="0.45">
      <c r="B14" s="151" t="s">
        <v>150</v>
      </c>
      <c r="C14" s="153">
        <f>C13/C12</f>
        <v>7.4767206477732797</v>
      </c>
      <c r="D14" s="153">
        <f t="shared" ref="D14:G14" si="4">D13/D12</f>
        <v>8.7804286291953098</v>
      </c>
      <c r="E14" s="153">
        <f t="shared" si="4"/>
        <v>7.9914118859498453</v>
      </c>
      <c r="F14" s="153">
        <f t="shared" si="4"/>
        <v>6.444556451612903</v>
      </c>
      <c r="G14" s="153">
        <f t="shared" si="4"/>
        <v>6.0563991323210411</v>
      </c>
      <c r="L14" s="151" t="s">
        <v>150</v>
      </c>
      <c r="M14" s="153">
        <f>M13/M12</f>
        <v>5.535241723729599</v>
      </c>
      <c r="N14" s="153">
        <f t="shared" ref="N14:Q14" si="5">N13/N12</f>
        <v>5.2708841325747313</v>
      </c>
      <c r="O14" s="153">
        <f t="shared" si="5"/>
        <v>5.1682429069188647</v>
      </c>
      <c r="P14" s="153">
        <f t="shared" si="5"/>
        <v>5.233160621761658</v>
      </c>
      <c r="Q14" s="153">
        <f t="shared" si="5"/>
        <v>5.5250467289719625</v>
      </c>
    </row>
    <row r="15" spans="2:17" x14ac:dyDescent="0.45">
      <c r="B15" s="41"/>
      <c r="C15" s="41"/>
      <c r="D15" s="41"/>
      <c r="E15" s="41"/>
      <c r="F15" s="41"/>
      <c r="G15" s="41"/>
      <c r="L15" s="41"/>
      <c r="M15" s="41"/>
      <c r="N15" s="41"/>
      <c r="O15" s="41"/>
      <c r="P15" s="41"/>
      <c r="Q15" s="41"/>
    </row>
    <row r="16" spans="2:17" ht="15.4" x14ac:dyDescent="0.45">
      <c r="B16" s="146" t="s">
        <v>151</v>
      </c>
      <c r="C16" s="147">
        <f>C12</f>
        <v>2964</v>
      </c>
      <c r="D16" s="147">
        <f t="shared" ref="D16:G16" si="6">D12</f>
        <v>2473</v>
      </c>
      <c r="E16" s="147">
        <f t="shared" si="6"/>
        <v>2911</v>
      </c>
      <c r="F16" s="147">
        <f t="shared" si="6"/>
        <v>3968</v>
      </c>
      <c r="G16" s="147">
        <f t="shared" si="6"/>
        <v>4610</v>
      </c>
      <c r="L16" s="146" t="s">
        <v>151</v>
      </c>
      <c r="M16" s="147">
        <f>M12</f>
        <v>19423</v>
      </c>
      <c r="N16" s="147">
        <f t="shared" ref="N16:Q16" si="7">N12</f>
        <v>22146</v>
      </c>
      <c r="O16" s="147">
        <f t="shared" si="7"/>
        <v>24108</v>
      </c>
      <c r="P16" s="147">
        <f t="shared" si="7"/>
        <v>26248</v>
      </c>
      <c r="Q16" s="147">
        <f t="shared" si="7"/>
        <v>26750</v>
      </c>
    </row>
    <row r="17" spans="2:17" ht="15.4" x14ac:dyDescent="0.45">
      <c r="B17" s="146" t="s">
        <v>152</v>
      </c>
      <c r="C17" s="147">
        <f>'BALANCE SHEET AUTOMOBILES'!C8</f>
        <v>15158</v>
      </c>
      <c r="D17" s="147">
        <f>'BALANCE SHEET AUTOMOBILES'!D8</f>
        <v>15743</v>
      </c>
      <c r="E17" s="147">
        <f>'BALANCE SHEET AUTOMOBILES'!E8</f>
        <v>16665</v>
      </c>
      <c r="F17" s="147">
        <f>'BALANCE SHEET AUTOMOBILES'!F8</f>
        <v>17946</v>
      </c>
      <c r="G17" s="147">
        <f>'BALANCE SHEET AUTOMOBILES'!G8</f>
        <v>19767</v>
      </c>
      <c r="L17" s="146" t="s">
        <v>152</v>
      </c>
      <c r="M17" s="147">
        <f>'BALANCE SHEET IT'!C5</f>
        <v>74227</v>
      </c>
      <c r="N17" s="147">
        <f>'BALANCE SHEET IT'!D5</f>
        <v>73252</v>
      </c>
      <c r="O17" s="147">
        <f>'BALANCE SHEET IT'!E5</f>
        <v>73338</v>
      </c>
      <c r="P17" s="147">
        <f>'BALANCE SHEET IT'!F5</f>
        <v>86045</v>
      </c>
      <c r="Q17" s="147">
        <f>'BALANCE SHEET IT'!G5</f>
        <v>93745</v>
      </c>
    </row>
    <row r="18" spans="2:17" ht="15.4" x14ac:dyDescent="0.45">
      <c r="B18" s="151" t="s">
        <v>153</v>
      </c>
      <c r="C18" s="156">
        <f>C17/C16</f>
        <v>5.1140350877192979</v>
      </c>
      <c r="D18" s="156">
        <f t="shared" ref="D18:G18" si="8">D17/D16</f>
        <v>6.365952284674484</v>
      </c>
      <c r="E18" s="156">
        <f t="shared" si="8"/>
        <v>5.7248368258330471</v>
      </c>
      <c r="F18" s="156">
        <f t="shared" si="8"/>
        <v>4.522681451612903</v>
      </c>
      <c r="G18" s="156">
        <f t="shared" si="8"/>
        <v>4.2878524945770069</v>
      </c>
      <c r="L18" s="151" t="s">
        <v>153</v>
      </c>
      <c r="M18" s="155">
        <f>M17/M16</f>
        <v>3.8216032538742728</v>
      </c>
      <c r="N18" s="155">
        <f t="shared" ref="N18:Q18" si="9">N17/N16</f>
        <v>3.307685360787501</v>
      </c>
      <c r="O18" s="155">
        <f t="shared" si="9"/>
        <v>3.0420607267297162</v>
      </c>
      <c r="P18" s="155">
        <f t="shared" si="9"/>
        <v>3.2781545260591285</v>
      </c>
      <c r="Q18" s="155">
        <f t="shared" si="9"/>
        <v>3.5044859813084113</v>
      </c>
    </row>
    <row r="21" spans="2:17" x14ac:dyDescent="0.45">
      <c r="C21" t="s">
        <v>87</v>
      </c>
      <c r="M21" t="s">
        <v>127</v>
      </c>
    </row>
    <row r="22" spans="2:17" ht="15.4" x14ac:dyDescent="0.45">
      <c r="B22" s="154" t="s">
        <v>144</v>
      </c>
      <c r="C22" s="154">
        <v>2021</v>
      </c>
      <c r="D22" s="154">
        <v>2022</v>
      </c>
      <c r="E22" s="154">
        <v>2023</v>
      </c>
      <c r="F22" s="154">
        <v>2024</v>
      </c>
      <c r="G22" s="154">
        <v>2025</v>
      </c>
      <c r="L22" s="154" t="s">
        <v>144</v>
      </c>
      <c r="M22" s="154">
        <v>2021</v>
      </c>
      <c r="N22" s="154">
        <v>2022</v>
      </c>
      <c r="O22" s="154">
        <v>2023</v>
      </c>
      <c r="P22" s="154">
        <v>2024</v>
      </c>
      <c r="Q22" s="154">
        <v>2025</v>
      </c>
    </row>
    <row r="23" spans="2:17" ht="15.4" x14ac:dyDescent="0.45">
      <c r="B23" s="146" t="s">
        <v>145</v>
      </c>
      <c r="C23" s="148">
        <f>'BALANCE SHEET AUTOMOBILES'!K8</f>
        <v>531</v>
      </c>
      <c r="D23" s="148">
        <f>'BALANCE SHEET AUTOMOBILES'!L8</f>
        <v>419</v>
      </c>
      <c r="E23" s="148">
        <f>'BALANCE SHEET AUTOMOBILES'!M8</f>
        <v>1247</v>
      </c>
      <c r="F23" s="148">
        <f>'BALANCE SHEET AUTOMOBILES'!N8</f>
        <v>119</v>
      </c>
      <c r="G23" s="148">
        <f>'BALANCE SHEET AUTOMOBILES'!O8</f>
        <v>76</v>
      </c>
      <c r="L23" s="146" t="s">
        <v>145</v>
      </c>
      <c r="M23" s="148">
        <f>'BALANCE SHEET IT'!L6</f>
        <v>7795</v>
      </c>
      <c r="N23" s="148">
        <f>'BALANCE SHEET IT'!M6</f>
        <v>7818</v>
      </c>
      <c r="O23" s="148">
        <f>'BALANCE SHEET IT'!N6</f>
        <v>7688</v>
      </c>
      <c r="P23" s="148">
        <f>'BALANCE SHEET IT'!O6</f>
        <v>8021</v>
      </c>
      <c r="Q23" s="148">
        <f>'BALANCE SHEET IT'!P6</f>
        <v>9392</v>
      </c>
    </row>
    <row r="24" spans="2:17" ht="15.4" x14ac:dyDescent="0.45">
      <c r="B24" s="146" t="s">
        <v>146</v>
      </c>
      <c r="C24" s="149">
        <f>'BALANCE SHEET AUTOMOBILES'!K6+'BALANCE SHEET AUTOMOBILES'!K7</f>
        <v>51367</v>
      </c>
      <c r="D24" s="149">
        <f>'BALANCE SHEET AUTOMOBILES'!L6+'BALANCE SHEET AUTOMOBILES'!L7</f>
        <v>54086</v>
      </c>
      <c r="E24" s="149">
        <f>'BALANCE SHEET AUTOMOBILES'!M6+'BALANCE SHEET AUTOMOBILES'!M7</f>
        <v>60382</v>
      </c>
      <c r="F24" s="149">
        <f>'BALANCE SHEET AUTOMOBILES'!N6+'BALANCE SHEET AUTOMOBILES'!N7</f>
        <v>83982</v>
      </c>
      <c r="G24" s="149">
        <f>'BALANCE SHEET AUTOMOBILES'!O6+'BALANCE SHEET AUTOMOBILES'!O7</f>
        <v>94047</v>
      </c>
      <c r="L24" s="146" t="s">
        <v>146</v>
      </c>
      <c r="M24" s="149">
        <f>'BALANCE SHEET IT'!L4+'BALANCE SHEET IT'!L5</f>
        <v>86433</v>
      </c>
      <c r="N24" s="149">
        <f>'BALANCE SHEET IT'!M4+'BALANCE SHEET IT'!M5</f>
        <v>89139</v>
      </c>
      <c r="O24" s="149">
        <f>'BALANCE SHEET IT'!N4+'BALANCE SHEET IT'!N5</f>
        <v>90424</v>
      </c>
      <c r="P24" s="149">
        <f>'BALANCE SHEET IT'!O4+'BALANCE SHEET IT'!O5</f>
        <v>90489</v>
      </c>
      <c r="Q24" s="149">
        <f>'BALANCE SHEET IT'!P4+'BALANCE SHEET IT'!P5</f>
        <v>94756</v>
      </c>
    </row>
    <row r="25" spans="2:17" ht="15.4" x14ac:dyDescent="0.45">
      <c r="B25" s="151" t="s">
        <v>147</v>
      </c>
      <c r="C25" s="152">
        <f>C24/C23</f>
        <v>96.736346516007529</v>
      </c>
      <c r="D25" s="152">
        <f t="shared" ref="D25:G25" si="10">D24/D23</f>
        <v>129.0835322195704</v>
      </c>
      <c r="E25" s="152">
        <f t="shared" si="10"/>
        <v>48.421812349639133</v>
      </c>
      <c r="F25" s="152">
        <f t="shared" si="10"/>
        <v>705.73109243697479</v>
      </c>
      <c r="G25" s="152">
        <f t="shared" si="10"/>
        <v>1237.4605263157894</v>
      </c>
      <c r="L25" s="151" t="s">
        <v>147</v>
      </c>
      <c r="M25" s="152">
        <f>M24/M23</f>
        <v>11.088261706221937</v>
      </c>
      <c r="N25" s="152">
        <f t="shared" ref="N25:Q25" si="11">N24/N23</f>
        <v>11.40176515732924</v>
      </c>
      <c r="O25" s="152">
        <f t="shared" si="11"/>
        <v>11.761706555671175</v>
      </c>
      <c r="P25" s="152">
        <f t="shared" si="11"/>
        <v>11.281511033536965</v>
      </c>
      <c r="Q25" s="152">
        <f t="shared" si="11"/>
        <v>10.089011925042589</v>
      </c>
    </row>
    <row r="26" spans="2:17" ht="15.4" x14ac:dyDescent="0.45">
      <c r="B26" s="41"/>
      <c r="C26" s="146"/>
      <c r="D26" s="146"/>
      <c r="E26" s="146"/>
      <c r="F26" s="146"/>
      <c r="G26" s="41"/>
      <c r="L26" s="41"/>
      <c r="M26" s="146"/>
      <c r="N26" s="146"/>
      <c r="O26" s="146"/>
      <c r="P26" s="146"/>
      <c r="Q26" s="41"/>
    </row>
    <row r="27" spans="2:17" ht="15.4" x14ac:dyDescent="0.45">
      <c r="B27" s="146" t="s">
        <v>148</v>
      </c>
      <c r="C27" s="147">
        <f>'P&amp;L AUTOMOBILES'!K15-'P&amp;L AUTOMOBILES'!K21</f>
        <v>2372</v>
      </c>
      <c r="D27" s="147">
        <f>'P&amp;L AUTOMOBILES'!L15-'P&amp;L AUTOMOBILES'!L21</f>
        <v>2961</v>
      </c>
      <c r="E27" s="147">
        <f>'P&amp;L AUTOMOBILES'!M15-'P&amp;L AUTOMOBILES'!M21</f>
        <v>8196</v>
      </c>
      <c r="F27" s="147">
        <f>'P&amp;L AUTOMOBILES'!N15-'P&amp;L AUTOMOBILES'!N21</f>
        <v>13427</v>
      </c>
      <c r="G27" s="147">
        <f>'P&amp;L AUTOMOBILES'!O15-'P&amp;L AUTOMOBILES'!O21</f>
        <v>14667</v>
      </c>
      <c r="L27" s="146" t="s">
        <v>148</v>
      </c>
      <c r="M27" s="147">
        <f>'P&amp;L IT'!L11-'P&amp;L IT'!L17</f>
        <v>42481</v>
      </c>
      <c r="N27" s="147">
        <f>'P&amp;L IT'!M11-'P&amp;L IT'!M17</f>
        <v>48453</v>
      </c>
      <c r="O27" s="147">
        <f>'P&amp;L IT'!N11-'P&amp;L IT'!N17</f>
        <v>54237</v>
      </c>
      <c r="P27" s="147">
        <f>'P&amp;L IT'!O11-'P&amp;L IT'!O17</f>
        <v>59311</v>
      </c>
      <c r="Q27" s="147">
        <f>'P&amp;L IT'!P11-'P&amp;L IT'!P17</f>
        <v>62165</v>
      </c>
    </row>
    <row r="28" spans="2:17" ht="15.4" x14ac:dyDescent="0.45">
      <c r="B28" s="146" t="s">
        <v>13</v>
      </c>
      <c r="C28" s="150">
        <f>'P&amp;L AUTOMOBILES'!K20</f>
        <v>101</v>
      </c>
      <c r="D28" s="150">
        <f>'P&amp;L AUTOMOBILES'!L20</f>
        <v>126</v>
      </c>
      <c r="E28" s="150">
        <f>'P&amp;L AUTOMOBILES'!M20</f>
        <v>187</v>
      </c>
      <c r="F28" s="150">
        <f>'P&amp;L AUTOMOBILES'!N20</f>
        <v>193</v>
      </c>
      <c r="G28" s="150">
        <f>'P&amp;L AUTOMOBILES'!O20</f>
        <v>193</v>
      </c>
      <c r="L28" s="146" t="s">
        <v>13</v>
      </c>
      <c r="M28" s="150">
        <f>'P&amp;L IT'!L16</f>
        <v>637</v>
      </c>
      <c r="N28" s="150">
        <f>'P&amp;L IT'!M16</f>
        <v>784</v>
      </c>
      <c r="O28" s="150">
        <f>'P&amp;L IT'!N16</f>
        <v>779</v>
      </c>
      <c r="P28" s="150">
        <f>'P&amp;L IT'!O16</f>
        <v>778</v>
      </c>
      <c r="Q28" s="150">
        <f>'P&amp;L IT'!P16</f>
        <v>796</v>
      </c>
    </row>
    <row r="29" spans="2:17" ht="15.4" x14ac:dyDescent="0.45">
      <c r="B29" s="151" t="s">
        <v>149</v>
      </c>
      <c r="C29" s="153">
        <f>C28/C27</f>
        <v>4.2580101180438451E-2</v>
      </c>
      <c r="D29" s="153">
        <f t="shared" ref="D29:G29" si="12">D28/D27</f>
        <v>4.2553191489361701E-2</v>
      </c>
      <c r="E29" s="153">
        <f t="shared" si="12"/>
        <v>2.2816007808687165E-2</v>
      </c>
      <c r="F29" s="153">
        <f t="shared" si="12"/>
        <v>1.4374022491993745E-2</v>
      </c>
      <c r="G29" s="153">
        <f t="shared" si="12"/>
        <v>1.3158791845639872E-2</v>
      </c>
      <c r="L29" s="151" t="s">
        <v>149</v>
      </c>
      <c r="M29" s="153">
        <f>M28/M27</f>
        <v>1.4994938913867375E-2</v>
      </c>
      <c r="N29" s="153">
        <f t="shared" ref="N29:Q29" si="13">N28/N27</f>
        <v>1.618062865044476E-2</v>
      </c>
      <c r="O29" s="153">
        <f t="shared" si="13"/>
        <v>1.4362888802846766E-2</v>
      </c>
      <c r="P29" s="153">
        <f t="shared" si="13"/>
        <v>1.311729696009172E-2</v>
      </c>
      <c r="Q29" s="153">
        <f t="shared" si="13"/>
        <v>1.2804632831979409E-2</v>
      </c>
    </row>
    <row r="30" spans="2:17" ht="15.4" x14ac:dyDescent="0.45">
      <c r="B30" s="41"/>
      <c r="C30" s="146"/>
      <c r="D30" s="146"/>
      <c r="E30" s="146"/>
      <c r="F30" s="146"/>
      <c r="G30" s="41"/>
      <c r="L30" s="41"/>
      <c r="M30" s="146"/>
      <c r="N30" s="146"/>
      <c r="O30" s="146"/>
      <c r="P30" s="146"/>
      <c r="Q30" s="41"/>
    </row>
    <row r="31" spans="2:17" ht="15.4" x14ac:dyDescent="0.45">
      <c r="B31" s="146" t="s">
        <v>151</v>
      </c>
      <c r="C31" s="148">
        <f>'P&amp;L AUTOMOBILES'!K24</f>
        <v>4230</v>
      </c>
      <c r="D31" s="148">
        <f>'P&amp;L AUTOMOBILES'!L24</f>
        <v>3766</v>
      </c>
      <c r="E31" s="148">
        <f>'P&amp;L AUTOMOBILES'!M24</f>
        <v>8049</v>
      </c>
      <c r="F31" s="148">
        <f>'P&amp;L AUTOMOBILES'!N24</f>
        <v>13209</v>
      </c>
      <c r="G31" s="148">
        <f>'P&amp;L AUTOMOBILES'!O24</f>
        <v>13955</v>
      </c>
      <c r="L31" s="146" t="s">
        <v>151</v>
      </c>
      <c r="M31" s="148">
        <f>'P&amp;L IT'!L20</f>
        <v>32562</v>
      </c>
      <c r="N31" s="148">
        <f>'P&amp;L IT'!M20</f>
        <v>38449</v>
      </c>
      <c r="O31" s="148">
        <f>'P&amp;L IT'!N20</f>
        <v>42303</v>
      </c>
      <c r="P31" s="148">
        <f>'P&amp;L IT'!O20</f>
        <v>46099</v>
      </c>
      <c r="Q31" s="148">
        <f>'P&amp;L IT'!P20</f>
        <v>48797</v>
      </c>
    </row>
    <row r="32" spans="2:17" ht="15.4" x14ac:dyDescent="0.45">
      <c r="B32" s="146" t="s">
        <v>55</v>
      </c>
      <c r="C32" s="149">
        <f>'BALANCE SHEET AUTOMOBILES'!K37</f>
        <v>70161</v>
      </c>
      <c r="D32" s="149">
        <f>'BALANCE SHEET AUTOMOBILES'!L37</f>
        <v>73394</v>
      </c>
      <c r="E32" s="149">
        <f>'BALANCE SHEET AUTOMOBILES'!M37</f>
        <v>83179</v>
      </c>
      <c r="F32" s="149">
        <f>'BALANCE SHEET AUTOMOBILES'!N37</f>
        <v>110285</v>
      </c>
      <c r="G32" s="149">
        <f>'BALANCE SHEET AUTOMOBILES'!O37</f>
        <v>125620</v>
      </c>
      <c r="L32" s="146" t="s">
        <v>55</v>
      </c>
      <c r="M32" s="149">
        <f>'BALANCE SHEET IT'!L37</f>
        <v>129992</v>
      </c>
      <c r="N32" s="149">
        <f>'BALANCE SHEET IT'!M37</f>
        <v>140924</v>
      </c>
      <c r="O32" s="149">
        <f>'BALANCE SHEET IT'!N37</f>
        <v>142859</v>
      </c>
      <c r="P32" s="149">
        <f>'BALANCE SHEET IT'!O37</f>
        <v>145472</v>
      </c>
      <c r="Q32" s="149">
        <f>'BALANCE SHEET IT'!P37</f>
        <v>158649</v>
      </c>
    </row>
    <row r="33" spans="2:17" ht="15.4" x14ac:dyDescent="0.45">
      <c r="B33" s="151" t="s">
        <v>150</v>
      </c>
      <c r="C33" s="153">
        <f>C32/C31</f>
        <v>16.586524822695036</v>
      </c>
      <c r="D33" s="153">
        <f t="shared" ref="D33:G33" si="14">D32/D31</f>
        <v>19.488582049920339</v>
      </c>
      <c r="E33" s="153">
        <f t="shared" si="14"/>
        <v>10.334078767548764</v>
      </c>
      <c r="F33" s="153">
        <f t="shared" si="14"/>
        <v>8.3492315845257021</v>
      </c>
      <c r="G33" s="153">
        <f t="shared" si="14"/>
        <v>9.0017914725904689</v>
      </c>
      <c r="L33" s="151" t="s">
        <v>150</v>
      </c>
      <c r="M33" s="153">
        <f>M32/M31</f>
        <v>3.9921380750568147</v>
      </c>
      <c r="N33" s="153">
        <f t="shared" ref="N33:Q33" si="15">N32/N31</f>
        <v>3.6652188613487997</v>
      </c>
      <c r="O33" s="153">
        <f t="shared" si="15"/>
        <v>3.3770418173651988</v>
      </c>
      <c r="P33" s="153">
        <f t="shared" si="15"/>
        <v>3.1556432894422874</v>
      </c>
      <c r="Q33" s="153">
        <f t="shared" si="15"/>
        <v>3.2512039674570157</v>
      </c>
    </row>
    <row r="34" spans="2:17" x14ac:dyDescent="0.45">
      <c r="B34" s="41"/>
      <c r="C34" s="41"/>
      <c r="D34" s="41"/>
      <c r="E34" s="41"/>
      <c r="F34" s="41"/>
      <c r="G34" s="41"/>
      <c r="L34" s="41"/>
      <c r="M34" s="41"/>
      <c r="N34" s="41"/>
      <c r="O34" s="41"/>
      <c r="P34" s="41"/>
      <c r="Q34" s="41"/>
    </row>
    <row r="35" spans="2:17" ht="15.4" x14ac:dyDescent="0.45">
      <c r="B35" s="146" t="s">
        <v>151</v>
      </c>
      <c r="C35" s="147">
        <f>C31</f>
        <v>4230</v>
      </c>
      <c r="D35" s="147">
        <f t="shared" ref="D35:G35" si="16">D31</f>
        <v>3766</v>
      </c>
      <c r="E35" s="147">
        <f t="shared" si="16"/>
        <v>8049</v>
      </c>
      <c r="F35" s="147">
        <f t="shared" si="16"/>
        <v>13209</v>
      </c>
      <c r="G35" s="147">
        <f t="shared" si="16"/>
        <v>13955</v>
      </c>
      <c r="L35" s="146" t="s">
        <v>151</v>
      </c>
      <c r="M35" s="147">
        <f>M31</f>
        <v>32562</v>
      </c>
      <c r="N35" s="147">
        <f t="shared" ref="N35:Q35" si="17">N31</f>
        <v>38449</v>
      </c>
      <c r="O35" s="147">
        <f t="shared" si="17"/>
        <v>42303</v>
      </c>
      <c r="P35" s="147">
        <f t="shared" si="17"/>
        <v>46099</v>
      </c>
      <c r="Q35" s="147">
        <f t="shared" si="17"/>
        <v>48797</v>
      </c>
    </row>
    <row r="36" spans="2:17" ht="15.4" x14ac:dyDescent="0.45">
      <c r="B36" s="146" t="s">
        <v>152</v>
      </c>
      <c r="C36" s="147">
        <f>'BALANCE SHEET AUTOMOBILES'!K7</f>
        <v>51216</v>
      </c>
      <c r="D36" s="147">
        <f>'BALANCE SHEET AUTOMOBILES'!L7</f>
        <v>53935</v>
      </c>
      <c r="E36" s="147">
        <f>'BALANCE SHEET AUTOMOBILES'!M7</f>
        <v>60231</v>
      </c>
      <c r="F36" s="147">
        <f>'BALANCE SHEET AUTOMOBILES'!N7</f>
        <v>83825</v>
      </c>
      <c r="G36" s="147">
        <f>'BALANCE SHEET AUTOMOBILES'!O7</f>
        <v>93890</v>
      </c>
      <c r="L36" s="146" t="s">
        <v>152</v>
      </c>
      <c r="M36" s="147">
        <f>'BALANCE SHEET IT'!L5</f>
        <v>86063</v>
      </c>
      <c r="N36" s="147">
        <f>'BALANCE SHEET IT'!M5</f>
        <v>88773</v>
      </c>
      <c r="O36" s="147">
        <f>'BALANCE SHEET IT'!N5</f>
        <v>90058</v>
      </c>
      <c r="P36" s="147">
        <f>'BALANCE SHEET IT'!O5</f>
        <v>90127</v>
      </c>
      <c r="Q36" s="147">
        <f>'BALANCE SHEET IT'!P5</f>
        <v>94394</v>
      </c>
    </row>
    <row r="37" spans="2:17" ht="15.4" x14ac:dyDescent="0.45">
      <c r="B37" s="151" t="s">
        <v>153</v>
      </c>
      <c r="C37" s="155">
        <f>C36/C35</f>
        <v>12.107801418439717</v>
      </c>
      <c r="D37" s="155">
        <f t="shared" ref="D37:G37" si="18">D36/D35</f>
        <v>14.321561338289962</v>
      </c>
      <c r="E37" s="155">
        <f t="shared" si="18"/>
        <v>7.4830413715989561</v>
      </c>
      <c r="F37" s="155">
        <f t="shared" si="18"/>
        <v>6.3460519342872281</v>
      </c>
      <c r="G37" s="155">
        <f t="shared" si="18"/>
        <v>6.7280544607667503</v>
      </c>
      <c r="L37" s="151" t="s">
        <v>153</v>
      </c>
      <c r="M37" s="155">
        <f>M36/M35</f>
        <v>2.6430501811928013</v>
      </c>
      <c r="N37" s="155">
        <f t="shared" ref="N37:Q37" si="19">N36/N35</f>
        <v>2.3088506853234154</v>
      </c>
      <c r="O37" s="155">
        <f t="shared" si="19"/>
        <v>2.1288797484811952</v>
      </c>
      <c r="P37" s="155">
        <f t="shared" si="19"/>
        <v>1.955074947395822</v>
      </c>
      <c r="Q37" s="155">
        <f t="shared" si="19"/>
        <v>1.934422198085948</v>
      </c>
    </row>
    <row r="40" spans="2:17" x14ac:dyDescent="0.45">
      <c r="C40" t="s">
        <v>111</v>
      </c>
      <c r="M40" t="s">
        <v>133</v>
      </c>
    </row>
    <row r="41" spans="2:17" ht="15.4" x14ac:dyDescent="0.45">
      <c r="B41" s="154" t="s">
        <v>144</v>
      </c>
      <c r="C41" s="154">
        <v>2021</v>
      </c>
      <c r="D41" s="154">
        <v>2022</v>
      </c>
      <c r="E41" s="154">
        <v>2023</v>
      </c>
      <c r="F41" s="154">
        <v>2024</v>
      </c>
      <c r="G41" s="154">
        <v>2025</v>
      </c>
      <c r="L41" s="154" t="s">
        <v>144</v>
      </c>
      <c r="M41" s="154">
        <v>2021</v>
      </c>
      <c r="N41" s="154">
        <v>2022</v>
      </c>
      <c r="O41" s="154">
        <v>2023</v>
      </c>
      <c r="P41" s="154">
        <v>2024</v>
      </c>
      <c r="Q41" s="154">
        <v>2025</v>
      </c>
    </row>
    <row r="42" spans="2:17" ht="15.4" x14ac:dyDescent="0.45">
      <c r="B42" s="146" t="s">
        <v>145</v>
      </c>
      <c r="C42" s="148">
        <f>'BALANCE SHEET AUTOMOBILES'!C49</f>
        <v>80625</v>
      </c>
      <c r="D42" s="148">
        <f>'BALANCE SHEET AUTOMOBILES'!D49</f>
        <v>77605</v>
      </c>
      <c r="E42" s="148">
        <f>'BALANCE SHEET AUTOMOBILES'!E49</f>
        <v>92247</v>
      </c>
      <c r="F42" s="148">
        <f>'BALANCE SHEET AUTOMOBILES'!F49</f>
        <v>108647</v>
      </c>
      <c r="G42" s="148">
        <f>'BALANCE SHEET AUTOMOBILES'!G49</f>
        <v>129025</v>
      </c>
      <c r="L42" s="146" t="s">
        <v>145</v>
      </c>
      <c r="M42" s="148">
        <f>'BALANCE SHEET IT'!C45</f>
        <v>10451</v>
      </c>
      <c r="N42" s="148">
        <f>'BALANCE SHEET IT'!D45</f>
        <v>17593</v>
      </c>
      <c r="O42" s="148">
        <f>'BALANCE SHEET IT'!E45</f>
        <v>17467</v>
      </c>
      <c r="P42" s="148">
        <f>'BALANCE SHEET IT'!F45</f>
        <v>16465</v>
      </c>
      <c r="Q42" s="148">
        <f>'BALANCE SHEET IT'!G45</f>
        <v>19204</v>
      </c>
    </row>
    <row r="43" spans="2:17" ht="15.4" x14ac:dyDescent="0.45">
      <c r="B43" s="146" t="s">
        <v>146</v>
      </c>
      <c r="C43" s="149">
        <f>'BALANCE SHEET AUTOMOBILES'!C47+'BALANCE SHEET AUTOMOBILES'!C48</f>
        <v>41582</v>
      </c>
      <c r="D43" s="149">
        <f>'BALANCE SHEET AUTOMOBILES'!D47+'BALANCE SHEET AUTOMOBILES'!D48</f>
        <v>47123</v>
      </c>
      <c r="E43" s="149">
        <f>'BALANCE SHEET AUTOMOBILES'!E47+'BALANCE SHEET AUTOMOBILES'!E48</f>
        <v>56366</v>
      </c>
      <c r="F43" s="149">
        <f>'BALANCE SHEET AUTOMOBILES'!F47+'BALANCE SHEET AUTOMOBILES'!F48</f>
        <v>66190</v>
      </c>
      <c r="G43" s="149">
        <f>'BALANCE SHEET AUTOMOBILES'!G47+'BALANCE SHEET AUTOMOBILES'!G48</f>
        <v>77039</v>
      </c>
      <c r="L43" s="146" t="s">
        <v>146</v>
      </c>
      <c r="M43" s="149">
        <f>'BALANCE SHEET IT'!C43+'BALANCE SHEET IT'!C44</f>
        <v>54901</v>
      </c>
      <c r="N43" s="149">
        <f>'BALANCE SHEET IT'!D43+'BALANCE SHEET IT'!D44</f>
        <v>65403</v>
      </c>
      <c r="O43" s="149">
        <f>'BALANCE SHEET IT'!E43+'BALANCE SHEET IT'!E44</f>
        <v>77668</v>
      </c>
      <c r="P43" s="149">
        <f>'BALANCE SHEET IT'!F43+'BALANCE SHEET IT'!F44</f>
        <v>74988</v>
      </c>
      <c r="Q43" s="149">
        <f>'BALANCE SHEET IT'!G43+'BALANCE SHEET IT'!G44</f>
        <v>82830</v>
      </c>
    </row>
    <row r="44" spans="2:17" ht="15.4" x14ac:dyDescent="0.45">
      <c r="B44" s="151" t="s">
        <v>147</v>
      </c>
      <c r="C44" s="152">
        <f>C43/C42</f>
        <v>0.51574573643410848</v>
      </c>
      <c r="D44" s="152">
        <f t="shared" ref="D44:G44" si="20">D43/D42</f>
        <v>0.60721602989498102</v>
      </c>
      <c r="E44" s="152">
        <f t="shared" si="20"/>
        <v>0.61103342114106696</v>
      </c>
      <c r="F44" s="152">
        <f t="shared" si="20"/>
        <v>0.60922068717958155</v>
      </c>
      <c r="G44" s="152">
        <f t="shared" si="20"/>
        <v>0.59708583607827936</v>
      </c>
      <c r="L44" s="151" t="s">
        <v>147</v>
      </c>
      <c r="M44" s="152">
        <f>M43/M42</f>
        <v>5.2531815137307438</v>
      </c>
      <c r="N44" s="152">
        <f t="shared" ref="N44:Q44" si="21">N43/N42</f>
        <v>3.7175581197067014</v>
      </c>
      <c r="O44" s="152">
        <f t="shared" si="21"/>
        <v>4.4465563634281793</v>
      </c>
      <c r="P44" s="152">
        <f t="shared" si="21"/>
        <v>4.55438809596113</v>
      </c>
      <c r="Q44" s="152">
        <f t="shared" si="21"/>
        <v>4.3131639241824624</v>
      </c>
    </row>
    <row r="45" spans="2:17" ht="15.4" x14ac:dyDescent="0.45">
      <c r="B45" s="41"/>
      <c r="C45" s="146"/>
      <c r="D45" s="146"/>
      <c r="E45" s="146"/>
      <c r="F45" s="146"/>
      <c r="G45" s="41"/>
      <c r="L45" s="41"/>
      <c r="M45" s="146"/>
      <c r="N45" s="146"/>
      <c r="O45" s="146"/>
      <c r="P45" s="146"/>
      <c r="Q45" s="41"/>
    </row>
    <row r="46" spans="2:17" ht="15.4" x14ac:dyDescent="0.45">
      <c r="B46" s="146" t="s">
        <v>148</v>
      </c>
      <c r="C46" s="147">
        <f>'P&amp;L AUTOMOBILES'!C48-'P&amp;L AUTOMOBILES'!C54</f>
        <v>8109</v>
      </c>
      <c r="D46" s="147">
        <f>'P&amp;L AUTOMOBILES'!D48-'P&amp;L AUTOMOBILES'!D54</f>
        <v>11175</v>
      </c>
      <c r="E46" s="147">
        <f>'P&amp;L AUTOMOBILES'!E48-'P&amp;L AUTOMOBILES'!E54</f>
        <v>15928</v>
      </c>
      <c r="F46" s="147">
        <f>'P&amp;L AUTOMOBILES'!F48-'P&amp;L AUTOMOBILES'!F54</f>
        <v>20168</v>
      </c>
      <c r="G46" s="147">
        <f>'P&amp;L AUTOMOBILES'!G48-'P&amp;L AUTOMOBILES'!G54</f>
        <v>24444</v>
      </c>
      <c r="L46" s="146" t="s">
        <v>148</v>
      </c>
      <c r="M46" s="147">
        <f>'P&amp;L IT'!C41-'P&amp;L IT'!C46</f>
        <v>14262</v>
      </c>
      <c r="N46" s="147">
        <f>'P&amp;L IT'!D41-'P&amp;L IT'!D46</f>
        <v>16152</v>
      </c>
      <c r="O46" s="147">
        <f>'P&amp;L IT'!E41-'P&amp;L IT'!E46</f>
        <v>15831</v>
      </c>
      <c r="P46" s="147">
        <f>'P&amp;L IT'!F41-'P&amp;L IT'!F46</f>
        <v>15497</v>
      </c>
      <c r="Q46" s="147">
        <f>'P&amp;L IT'!G41-'P&amp;L IT'!G46</f>
        <v>16544</v>
      </c>
    </row>
    <row r="47" spans="2:17" ht="15.4" x14ac:dyDescent="0.45">
      <c r="B47" s="146" t="s">
        <v>13</v>
      </c>
      <c r="C47" s="150">
        <f>'P&amp;L AUTOMOBILES'!C53</f>
        <v>6102</v>
      </c>
      <c r="D47" s="150">
        <f>'P&amp;L AUTOMOBILES'!D53</f>
        <v>5018</v>
      </c>
      <c r="E47" s="150">
        <f>'P&amp;L AUTOMOBILES'!E53</f>
        <v>5830</v>
      </c>
      <c r="F47" s="150">
        <f>'P&amp;L AUTOMOBILES'!F53</f>
        <v>7488</v>
      </c>
      <c r="G47" s="150">
        <f>'P&amp;L AUTOMOBILES'!G53</f>
        <v>9083</v>
      </c>
      <c r="L47" s="146" t="s">
        <v>13</v>
      </c>
      <c r="M47" s="150">
        <f>'P&amp;L IT'!C46</f>
        <v>509</v>
      </c>
      <c r="N47" s="150">
        <f>'P&amp;L IT'!D46</f>
        <v>532</v>
      </c>
      <c r="O47" s="150">
        <f>'P&amp;L IT'!E46</f>
        <v>1008</v>
      </c>
      <c r="P47" s="150">
        <f>'P&amp;L IT'!F46</f>
        <v>1255</v>
      </c>
      <c r="Q47" s="150">
        <f>'P&amp;L IT'!G46</f>
        <v>1477</v>
      </c>
    </row>
    <row r="48" spans="2:17" ht="15.4" x14ac:dyDescent="0.45">
      <c r="B48" s="151" t="s">
        <v>149</v>
      </c>
      <c r="C48" s="153">
        <f>C47/C46</f>
        <v>0.75249722530521646</v>
      </c>
      <c r="D48" s="153">
        <f t="shared" ref="D48:G48" si="22">D47/D46</f>
        <v>0.44903803131991049</v>
      </c>
      <c r="E48" s="153">
        <f t="shared" si="22"/>
        <v>0.36602209944751379</v>
      </c>
      <c r="F48" s="153">
        <f t="shared" si="22"/>
        <v>0.37128123760412535</v>
      </c>
      <c r="G48" s="153">
        <f t="shared" si="22"/>
        <v>0.37158402880052366</v>
      </c>
      <c r="L48" s="151" t="s">
        <v>149</v>
      </c>
      <c r="M48" s="153">
        <f>M47/M46</f>
        <v>3.5689244145281164E-2</v>
      </c>
      <c r="N48" s="153">
        <f t="shared" ref="N48:Q48" si="23">N47/N46</f>
        <v>3.2937097573055969E-2</v>
      </c>
      <c r="O48" s="153">
        <f t="shared" si="23"/>
        <v>6.3672541216600348E-2</v>
      </c>
      <c r="P48" s="153">
        <f t="shared" si="23"/>
        <v>8.0983416145060327E-2</v>
      </c>
      <c r="Q48" s="153">
        <f t="shared" si="23"/>
        <v>8.9277079303675053E-2</v>
      </c>
    </row>
    <row r="49" spans="2:17" ht="15.4" x14ac:dyDescent="0.45">
      <c r="B49" s="41"/>
      <c r="C49" s="146"/>
      <c r="D49" s="146"/>
      <c r="E49" s="146"/>
      <c r="F49" s="146"/>
      <c r="G49" s="41"/>
      <c r="L49" s="41"/>
      <c r="M49" s="146"/>
      <c r="N49" s="146"/>
      <c r="O49" s="146"/>
      <c r="P49" s="146"/>
      <c r="Q49" s="41"/>
    </row>
    <row r="50" spans="2:17" ht="15.4" x14ac:dyDescent="0.45">
      <c r="B50" s="146" t="s">
        <v>151</v>
      </c>
      <c r="C50" s="148">
        <f>'P&amp;L AUTOMOBILES'!C57</f>
        <v>1512</v>
      </c>
      <c r="D50" s="148">
        <f>'P&amp;L AUTOMOBILES'!D57</f>
        <v>7253</v>
      </c>
      <c r="E50" s="148">
        <f>'P&amp;L AUTOMOBILES'!E57</f>
        <v>11374</v>
      </c>
      <c r="F50" s="148">
        <f>'P&amp;L AUTOMOBILES'!F57</f>
        <v>12270</v>
      </c>
      <c r="G50" s="148">
        <f>'P&amp;L AUTOMOBILES'!G57</f>
        <v>14073</v>
      </c>
      <c r="L50" s="146" t="s">
        <v>151</v>
      </c>
      <c r="M50" s="148">
        <f>'P&amp;L IT'!C50</f>
        <v>10868</v>
      </c>
      <c r="N50" s="148">
        <f>'P&amp;L IT'!D50</f>
        <v>12243</v>
      </c>
      <c r="O50" s="148">
        <f>'P&amp;L IT'!E50</f>
        <v>11366</v>
      </c>
      <c r="P50" s="148">
        <f>'P&amp;L IT'!F50</f>
        <v>11112</v>
      </c>
      <c r="Q50" s="148">
        <f>'P&amp;L IT'!G50</f>
        <v>13218</v>
      </c>
    </row>
    <row r="51" spans="2:17" ht="15.4" x14ac:dyDescent="0.45">
      <c r="B51" s="146" t="s">
        <v>55</v>
      </c>
      <c r="C51" s="149">
        <f>'BALANCE SHEET AUTOMOBILES'!C83</f>
        <v>164968</v>
      </c>
      <c r="D51" s="149">
        <f>'BALANCE SHEET AUTOMOBILES'!D83</f>
        <v>172388</v>
      </c>
      <c r="E51" s="149">
        <f>'BALANCE SHEET AUTOMOBILES'!E83</f>
        <v>204283</v>
      </c>
      <c r="F51" s="149">
        <f>'BALANCE SHEET AUTOMOBILES'!F83</f>
        <v>234722</v>
      </c>
      <c r="G51" s="149">
        <f>'BALANCE SHEET AUTOMOBILES'!G83</f>
        <v>276013</v>
      </c>
      <c r="L51" s="146" t="s">
        <v>55</v>
      </c>
      <c r="M51" s="149">
        <f>'BALANCE SHEET IT'!C76</f>
        <v>82566</v>
      </c>
      <c r="N51" s="149">
        <f>'BALANCE SHEET IT'!D76</f>
        <v>107276</v>
      </c>
      <c r="O51" s="149">
        <f>'BALANCE SHEET IT'!E76</f>
        <v>116924</v>
      </c>
      <c r="P51" s="149">
        <f>'BALANCE SHEET IT'!F76</f>
        <v>115064</v>
      </c>
      <c r="Q51" s="149">
        <f>'BALANCE SHEET IT'!G76</f>
        <v>128396</v>
      </c>
    </row>
    <row r="52" spans="2:17" ht="15.4" x14ac:dyDescent="0.45">
      <c r="B52" s="151" t="s">
        <v>150</v>
      </c>
      <c r="C52" s="153">
        <f>C51/C50</f>
        <v>109.1058201058201</v>
      </c>
      <c r="D52" s="153">
        <f t="shared" ref="D52:G52" si="24">D51/D50</f>
        <v>23.767820212325933</v>
      </c>
      <c r="E52" s="153">
        <f t="shared" si="24"/>
        <v>17.960524002110077</v>
      </c>
      <c r="F52" s="153">
        <f t="shared" si="24"/>
        <v>19.129747351263244</v>
      </c>
      <c r="G52" s="153">
        <f t="shared" si="24"/>
        <v>19.61294677751723</v>
      </c>
      <c r="L52" s="151" t="s">
        <v>150</v>
      </c>
      <c r="M52" s="153">
        <f>M51/M50</f>
        <v>7.597165991902834</v>
      </c>
      <c r="N52" s="153">
        <f t="shared" ref="N52:Q52" si="25">N51/N50</f>
        <v>8.7622314792126108</v>
      </c>
      <c r="O52" s="153">
        <f t="shared" si="25"/>
        <v>10.287172268168222</v>
      </c>
      <c r="P52" s="153">
        <f t="shared" si="25"/>
        <v>10.354931605471561</v>
      </c>
      <c r="Q52" s="153">
        <f t="shared" si="25"/>
        <v>9.7137237100922977</v>
      </c>
    </row>
    <row r="53" spans="2:17" x14ac:dyDescent="0.45">
      <c r="B53" s="41"/>
      <c r="C53" s="41"/>
      <c r="D53" s="41"/>
      <c r="E53" s="41"/>
      <c r="F53" s="41"/>
      <c r="G53" s="41"/>
      <c r="L53" s="41"/>
      <c r="M53" s="41"/>
      <c r="N53" s="41"/>
      <c r="O53" s="41"/>
      <c r="P53" s="41"/>
      <c r="Q53" s="41"/>
    </row>
    <row r="54" spans="2:17" ht="15.4" x14ac:dyDescent="0.45">
      <c r="B54" s="146" t="s">
        <v>151</v>
      </c>
      <c r="C54" s="147">
        <f>C50</f>
        <v>1512</v>
      </c>
      <c r="D54" s="147">
        <f t="shared" ref="D54:G54" si="26">D50</f>
        <v>7253</v>
      </c>
      <c r="E54" s="147">
        <f t="shared" si="26"/>
        <v>11374</v>
      </c>
      <c r="F54" s="147">
        <f t="shared" si="26"/>
        <v>12270</v>
      </c>
      <c r="G54" s="147">
        <f t="shared" si="26"/>
        <v>14073</v>
      </c>
      <c r="L54" s="146" t="s">
        <v>151</v>
      </c>
      <c r="M54" s="147">
        <f>M50</f>
        <v>10868</v>
      </c>
      <c r="N54" s="147">
        <f t="shared" ref="N54:Q54" si="27">N50</f>
        <v>12243</v>
      </c>
      <c r="O54" s="147">
        <f t="shared" si="27"/>
        <v>11366</v>
      </c>
      <c r="P54" s="147">
        <f t="shared" si="27"/>
        <v>11112</v>
      </c>
      <c r="Q54" s="147">
        <f t="shared" si="27"/>
        <v>13218</v>
      </c>
    </row>
    <row r="55" spans="2:17" ht="15.4" x14ac:dyDescent="0.45">
      <c r="B55" s="146" t="s">
        <v>152</v>
      </c>
      <c r="C55" s="147">
        <f>'BALANCE SHEET AUTOMOBILES'!C48</f>
        <v>41027</v>
      </c>
      <c r="D55" s="147">
        <f>'BALANCE SHEET AUTOMOBILES'!D48</f>
        <v>46567</v>
      </c>
      <c r="E55" s="147">
        <f>'BALANCE SHEET AUTOMOBILES'!E48</f>
        <v>55809</v>
      </c>
      <c r="F55" s="147">
        <f>'BALANCE SHEET AUTOMOBILES'!F48</f>
        <v>65633</v>
      </c>
      <c r="G55" s="147">
        <f>'BALANCE SHEET AUTOMOBILES'!G48</f>
        <v>76481</v>
      </c>
      <c r="L55" s="146" t="s">
        <v>152</v>
      </c>
      <c r="M55" s="147">
        <f>'BALANCE SHEET IT'!C44</f>
        <v>53805</v>
      </c>
      <c r="N55" s="147">
        <f>'BALANCE SHEET IT'!D44</f>
        <v>64307</v>
      </c>
      <c r="O55" s="147">
        <f>'BALANCE SHEET IT'!E44</f>
        <v>76570</v>
      </c>
      <c r="P55" s="147">
        <f>'BALANCE SHEET IT'!F44</f>
        <v>73943</v>
      </c>
      <c r="Q55" s="147">
        <f>'BALANCE SHEET IT'!G44</f>
        <v>80736</v>
      </c>
    </row>
    <row r="56" spans="2:17" ht="15.4" x14ac:dyDescent="0.45">
      <c r="B56" s="151" t="s">
        <v>153</v>
      </c>
      <c r="C56" s="155">
        <f>C55/C54</f>
        <v>27.13425925925926</v>
      </c>
      <c r="D56" s="155">
        <f t="shared" ref="D56:G56" si="28">D55/D54</f>
        <v>6.4203777747139119</v>
      </c>
      <c r="E56" s="155">
        <f t="shared" si="28"/>
        <v>4.906717074028486</v>
      </c>
      <c r="F56" s="155">
        <f t="shared" si="28"/>
        <v>5.3490627546862264</v>
      </c>
      <c r="G56" s="155">
        <f t="shared" si="28"/>
        <v>5.4345910608967527</v>
      </c>
      <c r="L56" s="151" t="s">
        <v>153</v>
      </c>
      <c r="M56" s="155">
        <f>M55/M54</f>
        <v>4.9507729112992269</v>
      </c>
      <c r="N56" s="155">
        <f t="shared" ref="N56:Q56" si="29">N55/N54</f>
        <v>5.2525524789675737</v>
      </c>
      <c r="O56" s="155">
        <f t="shared" si="29"/>
        <v>6.7367587541791307</v>
      </c>
      <c r="P56" s="155">
        <f t="shared" si="29"/>
        <v>6.6543376529877607</v>
      </c>
      <c r="Q56" s="155">
        <f t="shared" si="29"/>
        <v>6.1080344984112571</v>
      </c>
    </row>
    <row r="59" spans="2:17" x14ac:dyDescent="0.45">
      <c r="C59" t="s">
        <v>98</v>
      </c>
      <c r="M59" t="s">
        <v>142</v>
      </c>
    </row>
    <row r="60" spans="2:17" ht="15.4" x14ac:dyDescent="0.45">
      <c r="B60" s="154" t="s">
        <v>144</v>
      </c>
      <c r="C60" s="154">
        <v>2021</v>
      </c>
      <c r="D60" s="154">
        <v>2022</v>
      </c>
      <c r="E60" s="154">
        <v>2023</v>
      </c>
      <c r="F60" s="154">
        <v>2024</v>
      </c>
      <c r="G60" s="154">
        <v>2025</v>
      </c>
      <c r="L60" s="154" t="s">
        <v>144</v>
      </c>
      <c r="M60" s="154">
        <v>2021</v>
      </c>
      <c r="N60" s="154">
        <v>2022</v>
      </c>
      <c r="O60" s="154">
        <v>2023</v>
      </c>
      <c r="P60" s="154">
        <v>2024</v>
      </c>
      <c r="Q60" s="154">
        <v>2025</v>
      </c>
    </row>
    <row r="61" spans="2:17" ht="15.4" x14ac:dyDescent="0.45">
      <c r="B61" s="146" t="s">
        <v>145</v>
      </c>
      <c r="C61" s="148">
        <f>'BALANCE SHEET AUTOMOBILES'!K49</f>
        <v>12179</v>
      </c>
      <c r="D61" s="148">
        <f>'BALANCE SHEET AUTOMOBILES'!L49</f>
        <v>15827</v>
      </c>
      <c r="E61" s="148">
        <f>'BALANCE SHEET AUTOMOBILES'!M49</f>
        <v>22376</v>
      </c>
      <c r="F61" s="148">
        <f>'BALANCE SHEET AUTOMOBILES'!N49</f>
        <v>26006</v>
      </c>
      <c r="G61" s="148">
        <f>'BALANCE SHEET AUTOMOBILES'!O49</f>
        <v>28609</v>
      </c>
      <c r="L61" s="146" t="s">
        <v>145</v>
      </c>
      <c r="M61" s="148">
        <f>'BALANCE SHEET IT'!L45</f>
        <v>6864</v>
      </c>
      <c r="N61" s="148">
        <f>'BALANCE SHEET IT'!M45</f>
        <v>6343</v>
      </c>
      <c r="O61" s="148">
        <f>'BALANCE SHEET IT'!N45</f>
        <v>4794</v>
      </c>
      <c r="P61" s="148">
        <f>'BALANCE SHEET IT'!O45</f>
        <v>5758</v>
      </c>
      <c r="Q61" s="148">
        <f>'BALANCE SHEET IT'!P45</f>
        <v>6276</v>
      </c>
    </row>
    <row r="62" spans="2:17" ht="15.4" x14ac:dyDescent="0.45">
      <c r="B62" s="146" t="s">
        <v>146</v>
      </c>
      <c r="C62" s="149">
        <f>'BALANCE SHEET AUTOMOBILES'!K47+'BALANCE SHEET AUTOMOBILES'!K48</f>
        <v>3827</v>
      </c>
      <c r="D62" s="149">
        <f>'BALANCE SHEET AUTOMOBILES'!L47+'BALANCE SHEET AUTOMOBILES'!L48</f>
        <v>4400</v>
      </c>
      <c r="E62" s="149">
        <f>'BALANCE SHEET AUTOMOBILES'!M47+'BALANCE SHEET AUTOMOBILES'!M48</f>
        <v>5505</v>
      </c>
      <c r="F62" s="149">
        <f>'BALANCE SHEET AUTOMOBILES'!N47+'BALANCE SHEET AUTOMOBILES'!N48</f>
        <v>6784</v>
      </c>
      <c r="G62" s="149">
        <f>'BALANCE SHEET AUTOMOBILES'!O47+'BALANCE SHEET AUTOMOBILES'!O48</f>
        <v>8504</v>
      </c>
      <c r="L62" s="146" t="s">
        <v>146</v>
      </c>
      <c r="M62" s="149">
        <f>'BALANCE SHEET IT'!L43+'BALANCE SHEET IT'!L44</f>
        <v>59913</v>
      </c>
      <c r="N62" s="149">
        <f>'BALANCE SHEET IT'!M43+'BALANCE SHEET IT'!M44</f>
        <v>61914</v>
      </c>
      <c r="O62" s="149">
        <f>'BALANCE SHEET IT'!N43+'BALANCE SHEET IT'!N44</f>
        <v>65405</v>
      </c>
      <c r="P62" s="149">
        <f>'BALANCE SHEET IT'!O43+'BALANCE SHEET IT'!O44</f>
        <v>68263</v>
      </c>
      <c r="Q62" s="149">
        <f>'BALANCE SHEET IT'!P43+'BALANCE SHEET IT'!P44</f>
        <v>69655</v>
      </c>
    </row>
    <row r="63" spans="2:17" ht="15.4" x14ac:dyDescent="0.45">
      <c r="B63" s="151" t="s">
        <v>147</v>
      </c>
      <c r="C63" s="152">
        <f>C62/C61</f>
        <v>0.31422941128171444</v>
      </c>
      <c r="D63" s="152">
        <f t="shared" ref="D63:G63" si="30">D62/D61</f>
        <v>0.27800593921779237</v>
      </c>
      <c r="E63" s="152">
        <f t="shared" si="30"/>
        <v>0.24602252413299963</v>
      </c>
      <c r="F63" s="152">
        <f t="shared" si="30"/>
        <v>0.26086287779743134</v>
      </c>
      <c r="G63" s="152">
        <f t="shared" si="30"/>
        <v>0.29724911741060506</v>
      </c>
      <c r="L63" s="151" t="s">
        <v>147</v>
      </c>
      <c r="M63" s="152">
        <f>M62/M61</f>
        <v>8.7285839160839167</v>
      </c>
      <c r="N63" s="152">
        <f t="shared" ref="N63:Q63" si="31">N62/N61</f>
        <v>9.7609963739555408</v>
      </c>
      <c r="O63" s="152">
        <f t="shared" si="31"/>
        <v>13.643095536086776</v>
      </c>
      <c r="P63" s="152">
        <f t="shared" si="31"/>
        <v>11.855331712400138</v>
      </c>
      <c r="Q63" s="152">
        <f t="shared" si="31"/>
        <v>11.098629700446144</v>
      </c>
    </row>
    <row r="64" spans="2:17" ht="15.4" x14ac:dyDescent="0.45">
      <c r="B64" s="41"/>
      <c r="C64" s="146"/>
      <c r="D64" s="146"/>
      <c r="E64" s="146"/>
      <c r="F64" s="146"/>
      <c r="G64" s="41"/>
      <c r="L64" s="41"/>
      <c r="M64" s="146"/>
      <c r="N64" s="146"/>
      <c r="O64" s="146"/>
      <c r="P64" s="146"/>
      <c r="Q64" s="41"/>
    </row>
    <row r="65" spans="2:17" ht="15.4" x14ac:dyDescent="0.45">
      <c r="B65" s="146" t="s">
        <v>148</v>
      </c>
      <c r="C65" s="147">
        <f>'P&amp;L AUTOMOBILES'!K47-'P&amp;L AUTOMOBILES'!K53</f>
        <v>1667</v>
      </c>
      <c r="D65" s="147">
        <f>'P&amp;L AUTOMOBILES'!L47-'P&amp;L AUTOMOBILES'!L53</f>
        <v>2012</v>
      </c>
      <c r="E65" s="147">
        <f>'P&amp;L AUTOMOBILES'!M47-'P&amp;L AUTOMOBILES'!M53</f>
        <v>3168</v>
      </c>
      <c r="F65" s="147">
        <f>'P&amp;L AUTOMOBILES'!N47-'P&amp;L AUTOMOBILES'!N53</f>
        <v>4479</v>
      </c>
      <c r="G65" s="147">
        <f>'P&amp;L AUTOMOBILES'!O47-'P&amp;L AUTOMOBILES'!O53</f>
        <v>5529</v>
      </c>
      <c r="L65" s="146" t="s">
        <v>148</v>
      </c>
      <c r="M65" s="147">
        <f>'P&amp;L IT'!L42-'P&amp;L IT'!L48</f>
        <v>15437</v>
      </c>
      <c r="N65" s="147">
        <f>'P&amp;L IT'!M42-'P&amp;L IT'!M48</f>
        <v>16203</v>
      </c>
      <c r="O65" s="147">
        <f>'P&amp;L IT'!N42-'P&amp;L IT'!N48</f>
        <v>18483</v>
      </c>
      <c r="P65" s="147">
        <f>'P&amp;L IT'!O42-'P&amp;L IT'!O48</f>
        <v>20025</v>
      </c>
      <c r="Q65" s="147">
        <f>'P&amp;L IT'!P42-'P&amp;L IT'!P48</f>
        <v>21420</v>
      </c>
    </row>
    <row r="66" spans="2:17" ht="15.4" x14ac:dyDescent="0.45">
      <c r="B66" s="146" t="s">
        <v>13</v>
      </c>
      <c r="C66" s="150">
        <f>'P&amp;L AUTOMOBILES'!K52</f>
        <v>881</v>
      </c>
      <c r="D66" s="150">
        <f>'P&amp;L AUTOMOBILES'!L52</f>
        <v>940</v>
      </c>
      <c r="E66" s="150">
        <f>'P&amp;L AUTOMOBILES'!M52</f>
        <v>1368</v>
      </c>
      <c r="F66" s="150">
        <f>'P&amp;L AUTOMOBILES'!N52</f>
        <v>1917</v>
      </c>
      <c r="G66" s="150">
        <f>'P&amp;L AUTOMOBILES'!O52</f>
        <v>2093</v>
      </c>
      <c r="L66" s="146" t="s">
        <v>13</v>
      </c>
      <c r="M66" s="150">
        <f>'P&amp;L IT'!L47</f>
        <v>511</v>
      </c>
      <c r="N66" s="150">
        <f>'P&amp;L IT'!M47</f>
        <v>319</v>
      </c>
      <c r="O66" s="150">
        <f>'P&amp;L IT'!N47</f>
        <v>353</v>
      </c>
      <c r="P66" s="150">
        <f>'P&amp;L IT'!O47</f>
        <v>553</v>
      </c>
      <c r="Q66" s="150">
        <f>'P&amp;L IT'!P47</f>
        <v>644</v>
      </c>
    </row>
    <row r="67" spans="2:17" ht="15.4" x14ac:dyDescent="0.45">
      <c r="B67" s="151" t="s">
        <v>149</v>
      </c>
      <c r="C67" s="153">
        <f>C66/C65</f>
        <v>0.52849430113977203</v>
      </c>
      <c r="D67" s="153">
        <f t="shared" ref="D67:G67" si="32">D66/D65</f>
        <v>0.4671968190854871</v>
      </c>
      <c r="E67" s="153">
        <f t="shared" si="32"/>
        <v>0.43181818181818182</v>
      </c>
      <c r="F67" s="153">
        <f t="shared" si="32"/>
        <v>0.42799732083054254</v>
      </c>
      <c r="G67" s="153">
        <f t="shared" si="32"/>
        <v>0.37854946644962922</v>
      </c>
      <c r="L67" s="151" t="s">
        <v>149</v>
      </c>
      <c r="M67" s="153">
        <f>M66/M65</f>
        <v>3.3102286713739715E-2</v>
      </c>
      <c r="N67" s="153">
        <f t="shared" ref="N67:Q67" si="33">N66/N65</f>
        <v>1.9687712152070606E-2</v>
      </c>
      <c r="O67" s="153">
        <f t="shared" si="33"/>
        <v>1.9098631174592869E-2</v>
      </c>
      <c r="P67" s="153">
        <f t="shared" si="33"/>
        <v>2.7615480649188513E-2</v>
      </c>
      <c r="Q67" s="153">
        <f t="shared" si="33"/>
        <v>3.0065359477124184E-2</v>
      </c>
    </row>
    <row r="68" spans="2:17" ht="15.4" x14ac:dyDescent="0.45">
      <c r="B68" s="41"/>
      <c r="C68" s="146"/>
      <c r="D68" s="146"/>
      <c r="E68" s="146"/>
      <c r="F68" s="146"/>
      <c r="G68" s="41"/>
      <c r="L68" s="41"/>
      <c r="M68" s="146"/>
      <c r="N68" s="146"/>
      <c r="O68" s="146"/>
      <c r="P68" s="146"/>
      <c r="Q68" s="41"/>
    </row>
    <row r="69" spans="2:17" ht="15.4" x14ac:dyDescent="0.45">
      <c r="B69" s="146" t="s">
        <v>151</v>
      </c>
      <c r="C69" s="148">
        <f>'P&amp;L AUTOMOBILES'!K56</f>
        <v>608</v>
      </c>
      <c r="D69" s="148">
        <f>'P&amp;L AUTOMOBILES'!L56</f>
        <v>731</v>
      </c>
      <c r="E69" s="148">
        <f>'P&amp;L AUTOMOBILES'!M56</f>
        <v>1309</v>
      </c>
      <c r="F69" s="148">
        <f>'P&amp;L AUTOMOBILES'!N56</f>
        <v>1779</v>
      </c>
      <c r="G69" s="148">
        <f>'P&amp;L AUTOMOBILES'!O56</f>
        <v>2380</v>
      </c>
      <c r="L69" s="146" t="s">
        <v>151</v>
      </c>
      <c r="M69" s="148">
        <f>'P&amp;L IT'!L51</f>
        <v>11169</v>
      </c>
      <c r="N69" s="148">
        <f>'P&amp;L IT'!M51</f>
        <v>13523</v>
      </c>
      <c r="O69" s="148">
        <f>'P&amp;L IT'!N51</f>
        <v>14845</v>
      </c>
      <c r="P69" s="148">
        <f>'P&amp;L IT'!O51</f>
        <v>15710</v>
      </c>
      <c r="Q69" s="148">
        <f>'P&amp;L IT'!P51</f>
        <v>17399</v>
      </c>
    </row>
    <row r="70" spans="2:17" ht="15.4" x14ac:dyDescent="0.45">
      <c r="B70" s="146" t="s">
        <v>55</v>
      </c>
      <c r="C70" s="149">
        <f>'BALANCE SHEET AUTOMOBILES'!K82</f>
        <v>21865</v>
      </c>
      <c r="D70" s="149">
        <f>'BALANCE SHEET AUTOMOBILES'!L82</f>
        <v>26919</v>
      </c>
      <c r="E70" s="149">
        <f>'BALANCE SHEET AUTOMOBILES'!M82</f>
        <v>35025</v>
      </c>
      <c r="F70" s="149">
        <f>'BALANCE SHEET AUTOMOBILES'!N82</f>
        <v>42024</v>
      </c>
      <c r="G70" s="149">
        <f>'BALANCE SHEET AUTOMOBILES'!O82</f>
        <v>47651</v>
      </c>
      <c r="L70" s="146" t="s">
        <v>55</v>
      </c>
      <c r="M70" s="149">
        <f>'BALANCE SHEET IT'!L76</f>
        <v>86047</v>
      </c>
      <c r="N70" s="149">
        <f>'BALANCE SHEET IT'!M76</f>
        <v>88921</v>
      </c>
      <c r="O70" s="149">
        <f>'BALANCE SHEET IT'!N76</f>
        <v>93250</v>
      </c>
      <c r="P70" s="149">
        <f>'BALANCE SHEET IT'!O76</f>
        <v>99006</v>
      </c>
      <c r="Q70" s="149">
        <f>'BALANCE SHEET IT'!P76</f>
        <v>104480</v>
      </c>
    </row>
    <row r="71" spans="2:17" ht="15.4" x14ac:dyDescent="0.45">
      <c r="B71" s="151" t="s">
        <v>150</v>
      </c>
      <c r="C71" s="153">
        <f>C70/C69</f>
        <v>35.962171052631582</v>
      </c>
      <c r="D71" s="153">
        <f t="shared" ref="D71:G71" si="34">D70/D69</f>
        <v>36.824897400820795</v>
      </c>
      <c r="E71" s="153">
        <f t="shared" si="34"/>
        <v>26.757066462948817</v>
      </c>
      <c r="F71" s="153">
        <f t="shared" si="34"/>
        <v>23.622259696458684</v>
      </c>
      <c r="G71" s="153">
        <f t="shared" si="34"/>
        <v>20.021428571428572</v>
      </c>
      <c r="L71" s="151" t="s">
        <v>150</v>
      </c>
      <c r="M71" s="153">
        <f>M70/M69</f>
        <v>7.7040916823350347</v>
      </c>
      <c r="N71" s="153">
        <f t="shared" ref="N71:Q71" si="35">N70/N69</f>
        <v>6.5755379723434153</v>
      </c>
      <c r="O71" s="153">
        <f t="shared" si="35"/>
        <v>6.2815762883125634</v>
      </c>
      <c r="P71" s="153">
        <f t="shared" si="35"/>
        <v>6.3021005728835133</v>
      </c>
      <c r="Q71" s="153">
        <f t="shared" si="35"/>
        <v>6.0049428128053339</v>
      </c>
    </row>
    <row r="72" spans="2:17" x14ac:dyDescent="0.45">
      <c r="B72" s="41"/>
      <c r="C72" s="41"/>
      <c r="D72" s="41"/>
      <c r="E72" s="41"/>
      <c r="F72" s="41"/>
      <c r="G72" s="41"/>
      <c r="L72" s="41"/>
      <c r="M72" s="41"/>
      <c r="N72" s="41"/>
      <c r="O72" s="41"/>
      <c r="P72" s="41"/>
      <c r="Q72" s="41"/>
    </row>
    <row r="73" spans="2:17" ht="15.4" x14ac:dyDescent="0.45">
      <c r="B73" s="146" t="s">
        <v>151</v>
      </c>
      <c r="C73" s="147">
        <f>C69</f>
        <v>608</v>
      </c>
      <c r="D73" s="147">
        <f t="shared" ref="D73:G73" si="36">D69</f>
        <v>731</v>
      </c>
      <c r="E73" s="147">
        <f t="shared" si="36"/>
        <v>1309</v>
      </c>
      <c r="F73" s="147">
        <f t="shared" si="36"/>
        <v>1779</v>
      </c>
      <c r="G73" s="147">
        <f t="shared" si="36"/>
        <v>2380</v>
      </c>
      <c r="L73" s="146" t="s">
        <v>151</v>
      </c>
      <c r="M73" s="147">
        <f>M69</f>
        <v>11169</v>
      </c>
      <c r="N73" s="147">
        <f t="shared" ref="N73:Q73" si="37">N69</f>
        <v>13523</v>
      </c>
      <c r="O73" s="147">
        <f t="shared" si="37"/>
        <v>14845</v>
      </c>
      <c r="P73" s="147">
        <f t="shared" si="37"/>
        <v>15710</v>
      </c>
      <c r="Q73" s="147">
        <f t="shared" si="37"/>
        <v>17399</v>
      </c>
    </row>
    <row r="74" spans="2:17" ht="15.4" x14ac:dyDescent="0.45">
      <c r="B74" s="146" t="s">
        <v>152</v>
      </c>
      <c r="C74" s="147">
        <f>'BALANCE SHEET AUTOMOBILES'!K48</f>
        <v>3779</v>
      </c>
      <c r="D74" s="147">
        <f>'BALANCE SHEET AUTOMOBILES'!L48</f>
        <v>4352</v>
      </c>
      <c r="E74" s="147">
        <f>'BALANCE SHEET AUTOMOBILES'!M48</f>
        <v>5457</v>
      </c>
      <c r="F74" s="147">
        <f>'BALANCE SHEET AUTOMOBILES'!N48</f>
        <v>6736</v>
      </c>
      <c r="G74" s="147">
        <f>'BALANCE SHEET AUTOMOBILES'!O48</f>
        <v>8456</v>
      </c>
      <c r="L74" s="146" t="s">
        <v>152</v>
      </c>
      <c r="M74" s="147">
        <f>'BALANCE SHEET IT'!L44</f>
        <v>59370</v>
      </c>
      <c r="N74" s="147">
        <f>'BALANCE SHEET IT'!M44</f>
        <v>61371</v>
      </c>
      <c r="O74" s="147">
        <f>'BALANCE SHEET IT'!N44</f>
        <v>64862</v>
      </c>
      <c r="P74" s="147">
        <f>'BALANCE SHEET IT'!O44</f>
        <v>67720</v>
      </c>
      <c r="Q74" s="147">
        <f>'BALANCE SHEET IT'!P44</f>
        <v>69112</v>
      </c>
    </row>
    <row r="75" spans="2:17" ht="15.4" x14ac:dyDescent="0.45">
      <c r="B75" s="151" t="s">
        <v>153</v>
      </c>
      <c r="C75" s="155">
        <f>C74/C73</f>
        <v>6.2154605263157894</v>
      </c>
      <c r="D75" s="155">
        <f t="shared" ref="D75:G75" si="38">D74/D73</f>
        <v>5.9534883720930232</v>
      </c>
      <c r="E75" s="155">
        <f t="shared" si="38"/>
        <v>4.1688311688311686</v>
      </c>
      <c r="F75" s="155">
        <f t="shared" si="38"/>
        <v>3.7863968521641373</v>
      </c>
      <c r="G75" s="155">
        <f t="shared" si="38"/>
        <v>3.552941176470588</v>
      </c>
      <c r="L75" s="151" t="s">
        <v>153</v>
      </c>
      <c r="M75" s="155">
        <f>M74/M73</f>
        <v>5.3156056943325272</v>
      </c>
      <c r="N75" s="155">
        <f t="shared" ref="N75:Q75" si="39">N74/N73</f>
        <v>4.53826813576869</v>
      </c>
      <c r="O75" s="155">
        <f t="shared" si="39"/>
        <v>4.3692825867295388</v>
      </c>
      <c r="P75" s="155">
        <f t="shared" si="39"/>
        <v>4.3106301718650544</v>
      </c>
      <c r="Q75" s="155">
        <f t="shared" si="39"/>
        <v>3.9721823093281223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6640-6B20-474B-8E36-AC3006A95A09}">
  <dimension ref="A1"/>
  <sheetViews>
    <sheetView zoomScale="70" zoomScaleNormal="70" workbookViewId="0">
      <selection activeCell="AC21" sqref="AC21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02EF-4806-C749-BBB6-91A01EC3A2A6}">
  <dimension ref="A1:Q35"/>
  <sheetViews>
    <sheetView zoomScale="59" workbookViewId="0">
      <selection activeCell="T18" sqref="T18"/>
    </sheetView>
  </sheetViews>
  <sheetFormatPr defaultColWidth="10.6640625" defaultRowHeight="14.25" x14ac:dyDescent="0.45"/>
  <cols>
    <col min="1" max="9" width="10.6640625" style="158"/>
    <col min="10" max="10" width="14.06640625" style="158" customWidth="1"/>
    <col min="11" max="16384" width="10.6640625" style="158"/>
  </cols>
  <sheetData>
    <row r="1" spans="1:17" ht="21" x14ac:dyDescent="0.65">
      <c r="A1" s="162" t="s">
        <v>154</v>
      </c>
      <c r="B1" s="162"/>
      <c r="C1" s="162"/>
      <c r="D1" s="162"/>
      <c r="E1" s="162"/>
      <c r="F1" s="157"/>
      <c r="G1" s="157"/>
      <c r="H1" s="157"/>
      <c r="I1" s="157"/>
      <c r="J1" s="157"/>
    </row>
    <row r="2" spans="1:17" ht="21" x14ac:dyDescent="0.65">
      <c r="A2" s="157"/>
      <c r="B2" s="157"/>
      <c r="C2" s="157"/>
      <c r="D2" s="157"/>
      <c r="E2" s="157"/>
      <c r="F2" s="157"/>
      <c r="G2" s="157"/>
      <c r="H2" s="157"/>
      <c r="I2" s="157"/>
      <c r="J2" s="157"/>
    </row>
    <row r="3" spans="1:17" ht="21" x14ac:dyDescent="0.65">
      <c r="A3" s="163" t="s">
        <v>155</v>
      </c>
      <c r="B3" s="163"/>
      <c r="C3" s="157"/>
      <c r="D3" s="157"/>
      <c r="E3" s="157"/>
      <c r="F3" s="157"/>
      <c r="G3" s="157"/>
      <c r="H3" s="157"/>
      <c r="I3" s="157"/>
      <c r="J3" s="161" t="s">
        <v>159</v>
      </c>
      <c r="K3"/>
    </row>
    <row r="4" spans="1:17" ht="21" x14ac:dyDescent="0.65">
      <c r="A4" s="157"/>
      <c r="B4" s="157"/>
      <c r="C4" s="157"/>
      <c r="D4" s="157"/>
      <c r="E4" s="157"/>
      <c r="F4" s="157"/>
      <c r="G4" s="157"/>
      <c r="H4" s="157"/>
      <c r="I4" s="157"/>
      <c r="J4" s="157"/>
    </row>
    <row r="5" spans="1:17" ht="21" customHeight="1" x14ac:dyDescent="0.45">
      <c r="A5" s="167" t="s">
        <v>157</v>
      </c>
      <c r="B5" s="167"/>
      <c r="C5" s="167"/>
      <c r="D5" s="167"/>
      <c r="E5" s="167"/>
      <c r="F5" s="167"/>
      <c r="G5" s="167"/>
      <c r="H5" s="167"/>
      <c r="I5" s="160"/>
      <c r="J5" s="169" t="s">
        <v>163</v>
      </c>
      <c r="K5" s="170"/>
      <c r="L5" s="170"/>
      <c r="M5" s="170"/>
      <c r="N5" s="170"/>
      <c r="O5" s="170"/>
      <c r="P5" s="170"/>
      <c r="Q5" s="170"/>
    </row>
    <row r="6" spans="1:17" ht="21" customHeight="1" x14ac:dyDescent="0.45">
      <c r="A6" s="167"/>
      <c r="B6" s="167"/>
      <c r="C6" s="167"/>
      <c r="D6" s="167"/>
      <c r="E6" s="167"/>
      <c r="F6" s="167"/>
      <c r="G6" s="167"/>
      <c r="H6" s="167"/>
      <c r="I6" s="160"/>
      <c r="J6" s="170"/>
      <c r="K6" s="170"/>
      <c r="L6" s="170"/>
      <c r="M6" s="170"/>
      <c r="N6" s="170"/>
      <c r="O6" s="170"/>
      <c r="P6" s="170"/>
      <c r="Q6" s="170"/>
    </row>
    <row r="7" spans="1:17" ht="21" customHeight="1" x14ac:dyDescent="0.45">
      <c r="A7" s="167"/>
      <c r="B7" s="167"/>
      <c r="C7" s="167"/>
      <c r="D7" s="167"/>
      <c r="E7" s="167"/>
      <c r="F7" s="167"/>
      <c r="G7" s="167"/>
      <c r="H7" s="167"/>
      <c r="I7" s="160"/>
      <c r="J7" s="170"/>
      <c r="K7" s="170"/>
      <c r="L7" s="170"/>
      <c r="M7" s="170"/>
      <c r="N7" s="170"/>
      <c r="O7" s="170"/>
      <c r="P7" s="170"/>
      <c r="Q7" s="170"/>
    </row>
    <row r="8" spans="1:17" ht="21" customHeight="1" x14ac:dyDescent="0.45">
      <c r="A8" s="167"/>
      <c r="B8" s="167"/>
      <c r="C8" s="167"/>
      <c r="D8" s="167"/>
      <c r="E8" s="167"/>
      <c r="F8" s="167"/>
      <c r="G8" s="167"/>
      <c r="H8" s="167"/>
      <c r="I8" s="160"/>
      <c r="J8" s="170"/>
      <c r="K8" s="170"/>
      <c r="L8" s="170"/>
      <c r="M8" s="170"/>
      <c r="N8" s="170"/>
      <c r="O8" s="170"/>
      <c r="P8" s="170"/>
      <c r="Q8" s="170"/>
    </row>
    <row r="9" spans="1:17" ht="21" customHeight="1" x14ac:dyDescent="0.45">
      <c r="A9" s="167"/>
      <c r="B9" s="167"/>
      <c r="C9" s="167"/>
      <c r="D9" s="167"/>
      <c r="E9" s="167"/>
      <c r="F9" s="167"/>
      <c r="G9" s="167"/>
      <c r="H9" s="167"/>
      <c r="I9" s="160"/>
      <c r="J9" s="170"/>
      <c r="K9" s="170"/>
      <c r="L9" s="170"/>
      <c r="M9" s="170"/>
      <c r="N9" s="170"/>
      <c r="O9" s="170"/>
      <c r="P9" s="170"/>
      <c r="Q9" s="170"/>
    </row>
    <row r="10" spans="1:17" ht="21" x14ac:dyDescent="0.65">
      <c r="A10" s="160"/>
      <c r="B10" s="160"/>
      <c r="C10" s="160"/>
      <c r="D10" s="160"/>
      <c r="E10" s="160"/>
      <c r="F10" s="160"/>
      <c r="G10" s="160"/>
      <c r="H10" s="160"/>
      <c r="I10" s="160"/>
      <c r="J10" s="157"/>
    </row>
    <row r="11" spans="1:17" ht="21" x14ac:dyDescent="0.65">
      <c r="A11" s="163" t="s">
        <v>165</v>
      </c>
      <c r="B11" s="163"/>
      <c r="C11"/>
      <c r="D11"/>
      <c r="E11" s="157"/>
      <c r="F11" s="157"/>
      <c r="G11" s="157"/>
      <c r="H11" s="157"/>
      <c r="I11" s="157"/>
      <c r="J11" s="164" t="s">
        <v>160</v>
      </c>
      <c r="K11" s="164"/>
      <c r="L11" s="164"/>
    </row>
    <row r="12" spans="1:17" ht="21" x14ac:dyDescent="0.65">
      <c r="A12" s="157"/>
      <c r="B12" s="157"/>
      <c r="C12" s="157"/>
      <c r="D12" s="157"/>
      <c r="E12" s="157"/>
      <c r="F12" s="157"/>
      <c r="G12" s="157"/>
      <c r="H12" s="157"/>
      <c r="I12" s="157"/>
      <c r="J12" s="157"/>
    </row>
    <row r="13" spans="1:17" ht="21" x14ac:dyDescent="0.65">
      <c r="A13" s="167" t="s">
        <v>166</v>
      </c>
      <c r="B13" s="168"/>
      <c r="C13" s="168"/>
      <c r="D13" s="168"/>
      <c r="E13" s="168"/>
      <c r="F13" s="168"/>
      <c r="G13" s="168"/>
      <c r="H13" s="168"/>
      <c r="I13" s="157"/>
      <c r="J13" s="169" t="s">
        <v>164</v>
      </c>
      <c r="K13" s="170"/>
      <c r="L13" s="170"/>
      <c r="M13" s="170"/>
      <c r="N13" s="170"/>
      <c r="O13" s="170"/>
      <c r="P13" s="170"/>
      <c r="Q13" s="170"/>
    </row>
    <row r="14" spans="1:17" ht="21" x14ac:dyDescent="0.65">
      <c r="A14" s="168"/>
      <c r="B14" s="168"/>
      <c r="C14" s="168"/>
      <c r="D14" s="168"/>
      <c r="E14" s="168"/>
      <c r="F14" s="168"/>
      <c r="G14" s="168"/>
      <c r="H14" s="168"/>
      <c r="I14" s="157"/>
      <c r="J14" s="170"/>
      <c r="K14" s="170"/>
      <c r="L14" s="170"/>
      <c r="M14" s="170"/>
      <c r="N14" s="170"/>
      <c r="O14" s="170"/>
      <c r="P14" s="170"/>
      <c r="Q14" s="170"/>
    </row>
    <row r="15" spans="1:17" ht="21" x14ac:dyDescent="0.65">
      <c r="A15" s="168"/>
      <c r="B15" s="168"/>
      <c r="C15" s="168"/>
      <c r="D15" s="168"/>
      <c r="E15" s="168"/>
      <c r="F15" s="168"/>
      <c r="G15" s="168"/>
      <c r="H15" s="168"/>
      <c r="I15" s="157"/>
      <c r="J15" s="170"/>
      <c r="K15" s="170"/>
      <c r="L15" s="170"/>
      <c r="M15" s="170"/>
      <c r="N15" s="170"/>
      <c r="O15" s="170"/>
      <c r="P15" s="170"/>
      <c r="Q15" s="170"/>
    </row>
    <row r="16" spans="1:17" ht="21" x14ac:dyDescent="0.65">
      <c r="A16" s="168"/>
      <c r="B16" s="168"/>
      <c r="C16" s="168"/>
      <c r="D16" s="168"/>
      <c r="E16" s="168"/>
      <c r="F16" s="168"/>
      <c r="G16" s="168"/>
      <c r="H16" s="168"/>
      <c r="I16" s="157"/>
      <c r="J16" s="170"/>
      <c r="K16" s="170"/>
      <c r="L16" s="170"/>
      <c r="M16" s="170"/>
      <c r="N16" s="170"/>
      <c r="O16" s="170"/>
      <c r="P16" s="170"/>
      <c r="Q16" s="170"/>
    </row>
    <row r="17" spans="1:17" ht="21" x14ac:dyDescent="0.65">
      <c r="A17" s="168"/>
      <c r="B17" s="168"/>
      <c r="C17" s="168"/>
      <c r="D17" s="168"/>
      <c r="E17" s="168"/>
      <c r="F17" s="168"/>
      <c r="G17" s="168"/>
      <c r="H17" s="168"/>
      <c r="I17" s="157"/>
      <c r="J17" s="170"/>
      <c r="K17" s="170"/>
      <c r="L17" s="170"/>
      <c r="M17" s="170"/>
      <c r="N17" s="170"/>
      <c r="O17" s="170"/>
      <c r="P17" s="170"/>
      <c r="Q17" s="170"/>
    </row>
    <row r="18" spans="1:17" ht="21" x14ac:dyDescent="0.65">
      <c r="A18" s="157"/>
      <c r="B18" s="157"/>
      <c r="C18" s="157"/>
      <c r="D18" s="157"/>
      <c r="E18" s="157"/>
      <c r="F18" s="157"/>
      <c r="G18" s="157"/>
      <c r="H18" s="157"/>
      <c r="I18" s="157"/>
      <c r="J18" s="157"/>
    </row>
    <row r="19" spans="1:17" ht="21" x14ac:dyDescent="0.65">
      <c r="A19" s="163" t="s">
        <v>156</v>
      </c>
      <c r="B19" s="163"/>
      <c r="C19" s="163"/>
      <c r="D19" s="163"/>
      <c r="E19" s="157"/>
      <c r="F19" s="157"/>
      <c r="G19" s="157"/>
      <c r="H19" s="157"/>
      <c r="I19" s="157"/>
      <c r="J19" s="164" t="s">
        <v>161</v>
      </c>
      <c r="K19" s="164"/>
      <c r="L19" s="164"/>
      <c r="M19" s="164"/>
    </row>
    <row r="20" spans="1:17" ht="21" x14ac:dyDescent="0.65">
      <c r="A20" s="157"/>
      <c r="B20" s="157"/>
      <c r="C20" s="157"/>
      <c r="D20" s="157"/>
      <c r="E20" s="157"/>
      <c r="F20" s="157"/>
      <c r="G20" s="157"/>
      <c r="H20" s="157"/>
      <c r="I20" s="157"/>
      <c r="J20" s="157"/>
    </row>
    <row r="21" spans="1:17" ht="21" x14ac:dyDescent="0.65">
      <c r="A21" s="167" t="s">
        <v>158</v>
      </c>
      <c r="B21" s="168"/>
      <c r="C21" s="168"/>
      <c r="D21" s="168"/>
      <c r="E21" s="168"/>
      <c r="F21" s="168"/>
      <c r="G21" s="168"/>
      <c r="H21" s="168"/>
      <c r="I21" s="157"/>
      <c r="J21" s="171" t="s">
        <v>162</v>
      </c>
      <c r="K21" s="172"/>
      <c r="L21" s="172"/>
      <c r="M21" s="172"/>
      <c r="N21" s="172"/>
      <c r="O21" s="172"/>
      <c r="P21" s="172"/>
      <c r="Q21" s="172"/>
    </row>
    <row r="22" spans="1:17" ht="21" x14ac:dyDescent="0.65">
      <c r="A22" s="168"/>
      <c r="B22" s="168"/>
      <c r="C22" s="168"/>
      <c r="D22" s="168"/>
      <c r="E22" s="168"/>
      <c r="F22" s="168"/>
      <c r="G22" s="168"/>
      <c r="H22" s="168"/>
      <c r="I22" s="157"/>
      <c r="J22" s="172"/>
      <c r="K22" s="172"/>
      <c r="L22" s="172"/>
      <c r="M22" s="172"/>
      <c r="N22" s="172"/>
      <c r="O22" s="172"/>
      <c r="P22" s="172"/>
      <c r="Q22" s="172"/>
    </row>
    <row r="23" spans="1:17" ht="21" x14ac:dyDescent="0.65">
      <c r="A23" s="168"/>
      <c r="B23" s="168"/>
      <c r="C23" s="168"/>
      <c r="D23" s="168"/>
      <c r="E23" s="168"/>
      <c r="F23" s="168"/>
      <c r="G23" s="168"/>
      <c r="H23" s="168"/>
      <c r="I23" s="157"/>
      <c r="J23" s="172"/>
      <c r="K23" s="172"/>
      <c r="L23" s="172"/>
      <c r="M23" s="172"/>
      <c r="N23" s="172"/>
      <c r="O23" s="172"/>
      <c r="P23" s="172"/>
      <c r="Q23" s="172"/>
    </row>
    <row r="24" spans="1:17" ht="21" x14ac:dyDescent="0.65">
      <c r="A24" s="168"/>
      <c r="B24" s="168"/>
      <c r="C24" s="168"/>
      <c r="D24" s="168"/>
      <c r="E24" s="168"/>
      <c r="F24" s="168"/>
      <c r="G24" s="168"/>
      <c r="H24" s="168"/>
      <c r="I24" s="157"/>
      <c r="J24" s="172"/>
      <c r="K24" s="172"/>
      <c r="L24" s="172"/>
      <c r="M24" s="172"/>
      <c r="N24" s="172"/>
      <c r="O24" s="172"/>
      <c r="P24" s="172"/>
      <c r="Q24" s="172"/>
    </row>
    <row r="25" spans="1:17" ht="21" x14ac:dyDescent="0.65">
      <c r="A25" s="168"/>
      <c r="B25" s="168"/>
      <c r="C25" s="168"/>
      <c r="D25" s="168"/>
      <c r="E25" s="168"/>
      <c r="F25" s="168"/>
      <c r="G25" s="168"/>
      <c r="H25" s="168"/>
      <c r="I25" s="157"/>
      <c r="J25" s="172"/>
      <c r="K25" s="172"/>
      <c r="L25" s="172"/>
      <c r="M25" s="172"/>
      <c r="N25" s="172"/>
      <c r="O25" s="172"/>
      <c r="P25" s="172"/>
      <c r="Q25" s="172"/>
    </row>
    <row r="26" spans="1:17" ht="21" x14ac:dyDescent="0.65">
      <c r="A26" s="168"/>
      <c r="B26" s="168"/>
      <c r="C26" s="168"/>
      <c r="D26" s="168"/>
      <c r="E26" s="168"/>
      <c r="F26" s="168"/>
      <c r="G26" s="168"/>
      <c r="H26" s="168"/>
      <c r="I26" s="157"/>
      <c r="J26" s="172"/>
      <c r="K26" s="172"/>
      <c r="L26" s="172"/>
      <c r="M26" s="172"/>
      <c r="N26" s="172"/>
      <c r="O26" s="172"/>
      <c r="P26" s="172"/>
      <c r="Q26" s="172"/>
    </row>
    <row r="27" spans="1:17" ht="21" x14ac:dyDescent="0.65">
      <c r="A27" s="159"/>
      <c r="B27" s="159"/>
      <c r="C27" s="159"/>
      <c r="D27" s="157"/>
      <c r="E27" s="157"/>
      <c r="F27" s="157"/>
      <c r="G27" s="157"/>
      <c r="H27" s="157"/>
      <c r="I27" s="157"/>
      <c r="J27" s="157"/>
    </row>
    <row r="28" spans="1:17" ht="21" x14ac:dyDescent="0.65">
      <c r="A28" s="164" t="s">
        <v>169</v>
      </c>
      <c r="B28" s="164"/>
      <c r="J28" s="161" t="s">
        <v>168</v>
      </c>
    </row>
    <row r="30" spans="1:17" x14ac:dyDescent="0.45">
      <c r="A30" s="165" t="s">
        <v>170</v>
      </c>
      <c r="B30" s="166"/>
      <c r="C30" s="166"/>
      <c r="D30" s="166"/>
      <c r="E30" s="166"/>
      <c r="F30" s="166"/>
      <c r="G30" s="166"/>
      <c r="H30" s="166"/>
      <c r="J30" s="165" t="s">
        <v>167</v>
      </c>
      <c r="K30" s="166"/>
      <c r="L30" s="166"/>
      <c r="M30" s="166"/>
      <c r="N30" s="166"/>
      <c r="O30" s="166"/>
      <c r="P30" s="166"/>
      <c r="Q30" s="166"/>
    </row>
    <row r="31" spans="1:17" x14ac:dyDescent="0.45">
      <c r="A31" s="166"/>
      <c r="B31" s="166"/>
      <c r="C31" s="166"/>
      <c r="D31" s="166"/>
      <c r="E31" s="166"/>
      <c r="F31" s="166"/>
      <c r="G31" s="166"/>
      <c r="H31" s="166"/>
      <c r="J31" s="166"/>
      <c r="K31" s="166"/>
      <c r="L31" s="166"/>
      <c r="M31" s="166"/>
      <c r="N31" s="166"/>
      <c r="O31" s="166"/>
      <c r="P31" s="166"/>
      <c r="Q31" s="166"/>
    </row>
    <row r="32" spans="1:17" x14ac:dyDescent="0.45">
      <c r="A32" s="166"/>
      <c r="B32" s="166"/>
      <c r="C32" s="166"/>
      <c r="D32" s="166"/>
      <c r="E32" s="166"/>
      <c r="F32" s="166"/>
      <c r="G32" s="166"/>
      <c r="H32" s="166"/>
      <c r="J32" s="166"/>
      <c r="K32" s="166"/>
      <c r="L32" s="166"/>
      <c r="M32" s="166"/>
      <c r="N32" s="166"/>
      <c r="O32" s="166"/>
      <c r="P32" s="166"/>
      <c r="Q32" s="166"/>
    </row>
    <row r="33" spans="1:17" x14ac:dyDescent="0.45">
      <c r="A33" s="166"/>
      <c r="B33" s="166"/>
      <c r="C33" s="166"/>
      <c r="D33" s="166"/>
      <c r="E33" s="166"/>
      <c r="F33" s="166"/>
      <c r="G33" s="166"/>
      <c r="H33" s="166"/>
      <c r="J33" s="166"/>
      <c r="K33" s="166"/>
      <c r="L33" s="166"/>
      <c r="M33" s="166"/>
      <c r="N33" s="166"/>
      <c r="O33" s="166"/>
      <c r="P33" s="166"/>
      <c r="Q33" s="166"/>
    </row>
    <row r="34" spans="1:17" x14ac:dyDescent="0.45">
      <c r="A34" s="166"/>
      <c r="B34" s="166"/>
      <c r="C34" s="166"/>
      <c r="D34" s="166"/>
      <c r="E34" s="166"/>
      <c r="F34" s="166"/>
      <c r="G34" s="166"/>
      <c r="H34" s="166"/>
      <c r="J34" s="166"/>
      <c r="K34" s="166"/>
      <c r="L34" s="166"/>
      <c r="M34" s="166"/>
      <c r="N34" s="166"/>
      <c r="O34" s="166"/>
      <c r="P34" s="166"/>
      <c r="Q34" s="166"/>
    </row>
    <row r="35" spans="1:17" x14ac:dyDescent="0.45">
      <c r="A35" s="166"/>
      <c r="B35" s="166"/>
      <c r="C35" s="166"/>
      <c r="D35" s="166"/>
      <c r="E35" s="166"/>
      <c r="F35" s="166"/>
      <c r="G35" s="166"/>
      <c r="H35" s="166"/>
      <c r="J35" s="166"/>
      <c r="K35" s="166"/>
      <c r="L35" s="166"/>
      <c r="M35" s="166"/>
      <c r="N35" s="166"/>
      <c r="O35" s="166"/>
      <c r="P35" s="166"/>
      <c r="Q35" s="166"/>
    </row>
  </sheetData>
  <mergeCells count="15">
    <mergeCell ref="A1:E1"/>
    <mergeCell ref="A3:B3"/>
    <mergeCell ref="A19:D19"/>
    <mergeCell ref="A28:B28"/>
    <mergeCell ref="J30:Q35"/>
    <mergeCell ref="A30:H35"/>
    <mergeCell ref="A21:H26"/>
    <mergeCell ref="J5:Q9"/>
    <mergeCell ref="J11:L11"/>
    <mergeCell ref="J13:Q17"/>
    <mergeCell ref="J19:M19"/>
    <mergeCell ref="J21:Q26"/>
    <mergeCell ref="A11:B11"/>
    <mergeCell ref="A5:H9"/>
    <mergeCell ref="A13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P&amp;L AUTOMOBILES</vt:lpstr>
      <vt:lpstr>BALANCE SHEET AUTOMOBILES</vt:lpstr>
      <vt:lpstr>P&amp;L IT</vt:lpstr>
      <vt:lpstr>BALANCE SHEET IT</vt:lpstr>
      <vt:lpstr>CASH FLOW AUTOMOBILES</vt:lpstr>
      <vt:lpstr>CASH FLOW IT </vt:lpstr>
      <vt:lpstr>RATIO</vt:lpstr>
      <vt:lpstr>DASHBOARD</vt:lpstr>
      <vt:lpstr>LEVERAGE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Singh Rajput</dc:creator>
  <cp:lastModifiedBy>a.saini2002@gmail.com</cp:lastModifiedBy>
  <dcterms:created xsi:type="dcterms:W3CDTF">2025-11-18T10:36:37Z</dcterms:created>
  <dcterms:modified xsi:type="dcterms:W3CDTF">2026-10-15T14:37:29Z</dcterms:modified>
</cp:coreProperties>
</file>